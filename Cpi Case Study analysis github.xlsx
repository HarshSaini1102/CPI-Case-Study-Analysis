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arsh\Desktop\"/>
    </mc:Choice>
  </mc:AlternateContent>
  <xr:revisionPtr revIDLastSave="0" documentId="8_{69B517AC-7244-47DA-B36F-595096C320D9}" xr6:coauthVersionLast="47" xr6:coauthVersionMax="47" xr10:uidLastSave="{00000000-0000-0000-0000-000000000000}"/>
  <bookViews>
    <workbookView xWindow="-110" yWindow="-110" windowWidth="19420" windowHeight="10300" activeTab="1" xr2:uid="{923949E0-93B1-4A58-BA59-BFD094868679}"/>
  </bookViews>
  <sheets>
    <sheet name="All_India_Index_Upto_April23 (1" sheetId="1" r:id="rId1"/>
    <sheet name="CPI Case Study" sheetId="3" r:id="rId2"/>
    <sheet name="Summary sheet" sheetId="4" r:id="rId3"/>
  </sheets>
  <definedNames>
    <definedName name="_xlnm._FilterDatabase" localSheetId="0" hidden="1">'All_India_Index_Upto_April23 (1'!$A$1:$AR$373</definedName>
    <definedName name="Slicer_Categories">#N/A</definedName>
    <definedName name="Slicer_Year">#N/A</definedName>
    <definedName name="Slicer_Year1">#N/A</definedName>
    <definedName name="Slicer_Years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1" i="3" l="1"/>
  <c r="B430" i="3"/>
  <c r="B429" i="3"/>
  <c r="B428" i="3"/>
  <c r="B427" i="3"/>
  <c r="C427" i="3"/>
  <c r="AC639" i="3"/>
  <c r="AB639" i="3"/>
  <c r="AA639" i="3"/>
  <c r="Z639" i="3"/>
  <c r="Y639" i="3"/>
  <c r="X639" i="3"/>
  <c r="W639" i="3"/>
  <c r="V639" i="3"/>
  <c r="U639" i="3"/>
  <c r="T639" i="3"/>
  <c r="S639" i="3"/>
  <c r="R639" i="3"/>
  <c r="Q639" i="3"/>
  <c r="P639" i="3"/>
  <c r="O639" i="3"/>
  <c r="N639" i="3"/>
  <c r="M639" i="3"/>
  <c r="L639" i="3"/>
  <c r="K639" i="3"/>
  <c r="J639" i="3"/>
  <c r="I639" i="3"/>
  <c r="H639" i="3"/>
  <c r="G639" i="3"/>
  <c r="F639" i="3"/>
  <c r="E639" i="3"/>
  <c r="D639" i="3"/>
  <c r="AC638" i="3"/>
  <c r="AB638" i="3"/>
  <c r="AA638" i="3"/>
  <c r="Z638" i="3"/>
  <c r="Y638" i="3"/>
  <c r="X638" i="3"/>
  <c r="W638" i="3"/>
  <c r="V638" i="3"/>
  <c r="U638" i="3"/>
  <c r="T638" i="3"/>
  <c r="S638" i="3"/>
  <c r="R638" i="3"/>
  <c r="Q638" i="3"/>
  <c r="P638" i="3"/>
  <c r="O638" i="3"/>
  <c r="N638" i="3"/>
  <c r="M638" i="3"/>
  <c r="L638" i="3"/>
  <c r="K638" i="3"/>
  <c r="J638" i="3"/>
  <c r="I638" i="3"/>
  <c r="H638" i="3"/>
  <c r="G638" i="3"/>
  <c r="F638" i="3"/>
  <c r="E638" i="3"/>
  <c r="D638" i="3"/>
  <c r="AC637" i="3"/>
  <c r="AB637" i="3"/>
  <c r="AA637" i="3"/>
  <c r="Z637" i="3"/>
  <c r="Y637" i="3"/>
  <c r="X637" i="3"/>
  <c r="W637" i="3"/>
  <c r="V637" i="3"/>
  <c r="U637" i="3"/>
  <c r="T637" i="3"/>
  <c r="S637" i="3"/>
  <c r="R637" i="3"/>
  <c r="Q637" i="3"/>
  <c r="P637" i="3"/>
  <c r="O637" i="3"/>
  <c r="N637" i="3"/>
  <c r="M637" i="3"/>
  <c r="L637" i="3"/>
  <c r="K637" i="3"/>
  <c r="J637" i="3"/>
  <c r="I637" i="3"/>
  <c r="H637" i="3"/>
  <c r="G637" i="3"/>
  <c r="F637" i="3"/>
  <c r="E637" i="3"/>
  <c r="D637" i="3"/>
  <c r="AC636" i="3"/>
  <c r="AB636" i="3"/>
  <c r="AA636" i="3"/>
  <c r="Z636" i="3"/>
  <c r="Y636" i="3"/>
  <c r="X636" i="3"/>
  <c r="W636" i="3"/>
  <c r="V636" i="3"/>
  <c r="U636" i="3"/>
  <c r="T636" i="3"/>
  <c r="S636" i="3"/>
  <c r="R636" i="3"/>
  <c r="Q636" i="3"/>
  <c r="P636" i="3"/>
  <c r="O636" i="3"/>
  <c r="N636" i="3"/>
  <c r="M636" i="3"/>
  <c r="L636" i="3"/>
  <c r="K636" i="3"/>
  <c r="J636" i="3"/>
  <c r="I636" i="3"/>
  <c r="H636" i="3"/>
  <c r="G636" i="3"/>
  <c r="F636" i="3"/>
  <c r="E636" i="3"/>
  <c r="D636" i="3"/>
  <c r="AC635" i="3"/>
  <c r="AB635" i="3"/>
  <c r="AA635" i="3"/>
  <c r="Z635" i="3"/>
  <c r="Y635" i="3"/>
  <c r="X635" i="3"/>
  <c r="W635" i="3"/>
  <c r="V635" i="3"/>
  <c r="U635" i="3"/>
  <c r="T635" i="3"/>
  <c r="S635" i="3"/>
  <c r="R635" i="3"/>
  <c r="Q635" i="3"/>
  <c r="P635" i="3"/>
  <c r="O635" i="3"/>
  <c r="N635" i="3"/>
  <c r="M635" i="3"/>
  <c r="L635" i="3"/>
  <c r="K635" i="3"/>
  <c r="J635" i="3"/>
  <c r="I635" i="3"/>
  <c r="H635" i="3"/>
  <c r="G635" i="3"/>
  <c r="F635" i="3"/>
  <c r="E635" i="3"/>
  <c r="D635" i="3"/>
  <c r="AC634" i="3"/>
  <c r="AB634" i="3"/>
  <c r="AA634" i="3"/>
  <c r="Z634" i="3"/>
  <c r="Y634" i="3"/>
  <c r="X634" i="3"/>
  <c r="W634" i="3"/>
  <c r="V634" i="3"/>
  <c r="U634" i="3"/>
  <c r="T634" i="3"/>
  <c r="S634" i="3"/>
  <c r="R634" i="3"/>
  <c r="Q634" i="3"/>
  <c r="P634" i="3"/>
  <c r="O634" i="3"/>
  <c r="N634" i="3"/>
  <c r="M634" i="3"/>
  <c r="L634" i="3"/>
  <c r="K634" i="3"/>
  <c r="J634" i="3"/>
  <c r="I634" i="3"/>
  <c r="H634" i="3"/>
  <c r="G634" i="3"/>
  <c r="F634" i="3"/>
  <c r="E634" i="3"/>
  <c r="D634" i="3"/>
  <c r="AC633" i="3"/>
  <c r="AB633" i="3"/>
  <c r="AA633" i="3"/>
  <c r="Z633" i="3"/>
  <c r="Y633" i="3"/>
  <c r="X633" i="3"/>
  <c r="W633" i="3"/>
  <c r="V633" i="3"/>
  <c r="U633" i="3"/>
  <c r="T633" i="3"/>
  <c r="S633" i="3"/>
  <c r="R633" i="3"/>
  <c r="Q633" i="3"/>
  <c r="P633" i="3"/>
  <c r="O633" i="3"/>
  <c r="N633" i="3"/>
  <c r="M633" i="3"/>
  <c r="L633" i="3"/>
  <c r="K633" i="3"/>
  <c r="J633" i="3"/>
  <c r="I633" i="3"/>
  <c r="H633" i="3"/>
  <c r="G633" i="3"/>
  <c r="F633" i="3"/>
  <c r="E633" i="3"/>
  <c r="D633" i="3"/>
  <c r="AC632" i="3"/>
  <c r="AB632" i="3"/>
  <c r="AA632" i="3"/>
  <c r="Z632" i="3"/>
  <c r="Y632" i="3"/>
  <c r="X632" i="3"/>
  <c r="W632" i="3"/>
  <c r="V632" i="3"/>
  <c r="U632" i="3"/>
  <c r="T632" i="3"/>
  <c r="S632" i="3"/>
  <c r="R632" i="3"/>
  <c r="Q632" i="3"/>
  <c r="P632" i="3"/>
  <c r="O632" i="3"/>
  <c r="N632" i="3"/>
  <c r="M632" i="3"/>
  <c r="L632" i="3"/>
  <c r="K632" i="3"/>
  <c r="J632" i="3"/>
  <c r="I632" i="3"/>
  <c r="H632" i="3"/>
  <c r="G632" i="3"/>
  <c r="F632" i="3"/>
  <c r="E632" i="3"/>
  <c r="D632" i="3"/>
  <c r="AC631" i="3"/>
  <c r="AB631" i="3"/>
  <c r="AA631" i="3"/>
  <c r="Z631" i="3"/>
  <c r="Y631" i="3"/>
  <c r="X631" i="3"/>
  <c r="W631" i="3"/>
  <c r="V631" i="3"/>
  <c r="U631" i="3"/>
  <c r="T631" i="3"/>
  <c r="S631" i="3"/>
  <c r="R631" i="3"/>
  <c r="Q631" i="3"/>
  <c r="P631" i="3"/>
  <c r="O631" i="3"/>
  <c r="N631" i="3"/>
  <c r="M631" i="3"/>
  <c r="L631" i="3"/>
  <c r="K631" i="3"/>
  <c r="J631" i="3"/>
  <c r="I631" i="3"/>
  <c r="H631" i="3"/>
  <c r="G631" i="3"/>
  <c r="F631" i="3"/>
  <c r="E631" i="3"/>
  <c r="D631" i="3"/>
  <c r="AC630" i="3"/>
  <c r="AB630" i="3"/>
  <c r="AA630" i="3"/>
  <c r="Z630" i="3"/>
  <c r="Y630" i="3"/>
  <c r="X630" i="3"/>
  <c r="W630" i="3"/>
  <c r="V630" i="3"/>
  <c r="U630" i="3"/>
  <c r="T630" i="3"/>
  <c r="S630" i="3"/>
  <c r="R630" i="3"/>
  <c r="Q630" i="3"/>
  <c r="P630" i="3"/>
  <c r="O630" i="3"/>
  <c r="N630" i="3"/>
  <c r="M630" i="3"/>
  <c r="L630" i="3"/>
  <c r="K630" i="3"/>
  <c r="J630" i="3"/>
  <c r="I630" i="3"/>
  <c r="H630" i="3"/>
  <c r="G630" i="3"/>
  <c r="F630" i="3"/>
  <c r="E630" i="3"/>
  <c r="D630" i="3"/>
  <c r="AC629" i="3"/>
  <c r="AB629" i="3"/>
  <c r="AA629" i="3"/>
  <c r="Z629" i="3"/>
  <c r="Y629" i="3"/>
  <c r="X629" i="3"/>
  <c r="W629" i="3"/>
  <c r="V629" i="3"/>
  <c r="U629" i="3"/>
  <c r="T629" i="3"/>
  <c r="S629" i="3"/>
  <c r="R629" i="3"/>
  <c r="Q629" i="3"/>
  <c r="P629" i="3"/>
  <c r="O629" i="3"/>
  <c r="N629" i="3"/>
  <c r="M629" i="3"/>
  <c r="L629" i="3"/>
  <c r="K629" i="3"/>
  <c r="J629" i="3"/>
  <c r="I629" i="3"/>
  <c r="H629" i="3"/>
  <c r="G629" i="3"/>
  <c r="F629" i="3"/>
  <c r="E629" i="3"/>
  <c r="D629" i="3"/>
  <c r="AC628" i="3"/>
  <c r="AB628" i="3"/>
  <c r="AA628" i="3"/>
  <c r="Z628" i="3"/>
  <c r="Y628" i="3"/>
  <c r="X628" i="3"/>
  <c r="W628" i="3"/>
  <c r="V628" i="3"/>
  <c r="U628" i="3"/>
  <c r="T628" i="3"/>
  <c r="S628" i="3"/>
  <c r="R628" i="3"/>
  <c r="Q628" i="3"/>
  <c r="P628" i="3"/>
  <c r="O628" i="3"/>
  <c r="N628" i="3"/>
  <c r="M628" i="3"/>
  <c r="L628" i="3"/>
  <c r="K628" i="3"/>
  <c r="J628" i="3"/>
  <c r="I628" i="3"/>
  <c r="H628" i="3"/>
  <c r="G628" i="3"/>
  <c r="F628" i="3"/>
  <c r="E628" i="3"/>
  <c r="D628" i="3"/>
  <c r="AC627" i="3"/>
  <c r="AB627" i="3"/>
  <c r="AA627" i="3"/>
  <c r="Z627" i="3"/>
  <c r="Y627" i="3"/>
  <c r="X627" i="3"/>
  <c r="W627" i="3"/>
  <c r="V627" i="3"/>
  <c r="U627" i="3"/>
  <c r="T627" i="3"/>
  <c r="S627" i="3"/>
  <c r="R627" i="3"/>
  <c r="Q627" i="3"/>
  <c r="P627" i="3"/>
  <c r="O627" i="3"/>
  <c r="N627" i="3"/>
  <c r="M627" i="3"/>
  <c r="L627" i="3"/>
  <c r="K627" i="3"/>
  <c r="J627" i="3"/>
  <c r="I627" i="3"/>
  <c r="H627" i="3"/>
  <c r="G627" i="3"/>
  <c r="F627" i="3"/>
  <c r="E627" i="3"/>
  <c r="D627" i="3"/>
  <c r="AC626" i="3"/>
  <c r="AB626" i="3"/>
  <c r="AA626" i="3"/>
  <c r="Z626" i="3"/>
  <c r="Y626" i="3"/>
  <c r="X626" i="3"/>
  <c r="W626" i="3"/>
  <c r="V626" i="3"/>
  <c r="U626" i="3"/>
  <c r="T626" i="3"/>
  <c r="S626" i="3"/>
  <c r="R626" i="3"/>
  <c r="Q626" i="3"/>
  <c r="P626" i="3"/>
  <c r="O626" i="3"/>
  <c r="N626" i="3"/>
  <c r="M626" i="3"/>
  <c r="L626" i="3"/>
  <c r="K626" i="3"/>
  <c r="J626" i="3"/>
  <c r="I626" i="3"/>
  <c r="H626" i="3"/>
  <c r="G626" i="3"/>
  <c r="F626" i="3"/>
  <c r="E626" i="3"/>
  <c r="D626" i="3"/>
  <c r="AC625" i="3"/>
  <c r="AB625" i="3"/>
  <c r="AA625" i="3"/>
  <c r="Z625" i="3"/>
  <c r="Y625" i="3"/>
  <c r="X625" i="3"/>
  <c r="W625" i="3"/>
  <c r="V625" i="3"/>
  <c r="U625" i="3"/>
  <c r="T625" i="3"/>
  <c r="S625" i="3"/>
  <c r="R625" i="3"/>
  <c r="Q625" i="3"/>
  <c r="P625" i="3"/>
  <c r="O625" i="3"/>
  <c r="N625" i="3"/>
  <c r="M625" i="3"/>
  <c r="L625" i="3"/>
  <c r="K625" i="3"/>
  <c r="J625" i="3"/>
  <c r="I625" i="3"/>
  <c r="H625" i="3"/>
  <c r="G625" i="3"/>
  <c r="F625" i="3"/>
  <c r="E625" i="3"/>
  <c r="D625" i="3"/>
  <c r="AC624" i="3"/>
  <c r="AB624" i="3"/>
  <c r="AA624" i="3"/>
  <c r="Z624" i="3"/>
  <c r="Y624" i="3"/>
  <c r="X624" i="3"/>
  <c r="W624" i="3"/>
  <c r="V624" i="3"/>
  <c r="U624" i="3"/>
  <c r="T624" i="3"/>
  <c r="S624" i="3"/>
  <c r="R624" i="3"/>
  <c r="Q624" i="3"/>
  <c r="P624" i="3"/>
  <c r="O624" i="3"/>
  <c r="N624" i="3"/>
  <c r="M624" i="3"/>
  <c r="L624" i="3"/>
  <c r="K624" i="3"/>
  <c r="J624" i="3"/>
  <c r="I624" i="3"/>
  <c r="H624" i="3"/>
  <c r="G624" i="3"/>
  <c r="F624" i="3"/>
  <c r="E624" i="3"/>
  <c r="D624" i="3"/>
  <c r="AC623" i="3"/>
  <c r="AB623" i="3"/>
  <c r="AA623" i="3"/>
  <c r="Z623" i="3"/>
  <c r="Y623" i="3"/>
  <c r="X623" i="3"/>
  <c r="W623" i="3"/>
  <c r="V623" i="3"/>
  <c r="U623" i="3"/>
  <c r="T623" i="3"/>
  <c r="S623" i="3"/>
  <c r="R623" i="3"/>
  <c r="Q623" i="3"/>
  <c r="P623" i="3"/>
  <c r="O623" i="3"/>
  <c r="N623" i="3"/>
  <c r="M623" i="3"/>
  <c r="L623" i="3"/>
  <c r="K623" i="3"/>
  <c r="J623" i="3"/>
  <c r="I623" i="3"/>
  <c r="H623" i="3"/>
  <c r="G623" i="3"/>
  <c r="F623" i="3"/>
  <c r="E623" i="3"/>
  <c r="D623" i="3"/>
  <c r="AC622" i="3"/>
  <c r="AB622" i="3"/>
  <c r="AA622" i="3"/>
  <c r="Z622" i="3"/>
  <c r="Y622" i="3"/>
  <c r="X622" i="3"/>
  <c r="W622" i="3"/>
  <c r="V622" i="3"/>
  <c r="U622" i="3"/>
  <c r="T622" i="3"/>
  <c r="S622" i="3"/>
  <c r="R622" i="3"/>
  <c r="Q622" i="3"/>
  <c r="P622" i="3"/>
  <c r="O622" i="3"/>
  <c r="N622" i="3"/>
  <c r="M622" i="3"/>
  <c r="L622" i="3"/>
  <c r="K622" i="3"/>
  <c r="J622" i="3"/>
  <c r="I622" i="3"/>
  <c r="H622" i="3"/>
  <c r="G622" i="3"/>
  <c r="F622" i="3"/>
  <c r="E622" i="3"/>
  <c r="D622" i="3"/>
  <c r="AC621" i="3"/>
  <c r="AB621" i="3"/>
  <c r="AA621" i="3"/>
  <c r="Z621" i="3"/>
  <c r="Y621" i="3"/>
  <c r="X621" i="3"/>
  <c r="W621" i="3"/>
  <c r="V621" i="3"/>
  <c r="U621" i="3"/>
  <c r="T621" i="3"/>
  <c r="S621" i="3"/>
  <c r="R621" i="3"/>
  <c r="Q621" i="3"/>
  <c r="P621" i="3"/>
  <c r="O621" i="3"/>
  <c r="N621" i="3"/>
  <c r="M621" i="3"/>
  <c r="L621" i="3"/>
  <c r="K621" i="3"/>
  <c r="J621" i="3"/>
  <c r="I621" i="3"/>
  <c r="H621" i="3"/>
  <c r="G621" i="3"/>
  <c r="F621" i="3"/>
  <c r="E621" i="3"/>
  <c r="D621" i="3"/>
  <c r="AC620" i="3"/>
  <c r="AB620" i="3"/>
  <c r="AA620" i="3"/>
  <c r="Z620" i="3"/>
  <c r="Y620" i="3"/>
  <c r="X620" i="3"/>
  <c r="W620" i="3"/>
  <c r="V620" i="3"/>
  <c r="U620" i="3"/>
  <c r="T620" i="3"/>
  <c r="S620" i="3"/>
  <c r="R620" i="3"/>
  <c r="Q620" i="3"/>
  <c r="P620" i="3"/>
  <c r="O620" i="3"/>
  <c r="N620" i="3"/>
  <c r="M620" i="3"/>
  <c r="L620" i="3"/>
  <c r="K620" i="3"/>
  <c r="J620" i="3"/>
  <c r="I620" i="3"/>
  <c r="H620" i="3"/>
  <c r="G620" i="3"/>
  <c r="F620" i="3"/>
  <c r="E620" i="3"/>
  <c r="D620" i="3"/>
  <c r="AC619" i="3"/>
  <c r="AB619" i="3"/>
  <c r="AA619" i="3"/>
  <c r="Z619" i="3"/>
  <c r="Y619" i="3"/>
  <c r="X619" i="3"/>
  <c r="W619" i="3"/>
  <c r="V619" i="3"/>
  <c r="U619" i="3"/>
  <c r="T619" i="3"/>
  <c r="S619" i="3"/>
  <c r="R619" i="3"/>
  <c r="Q619" i="3"/>
  <c r="P619" i="3"/>
  <c r="O619" i="3"/>
  <c r="N619" i="3"/>
  <c r="M619" i="3"/>
  <c r="L619" i="3"/>
  <c r="K619" i="3"/>
  <c r="J619" i="3"/>
  <c r="I619" i="3"/>
  <c r="H619" i="3"/>
  <c r="G619" i="3"/>
  <c r="F619" i="3"/>
  <c r="E619" i="3"/>
  <c r="D619" i="3"/>
  <c r="AC618" i="3"/>
  <c r="AB618" i="3"/>
  <c r="AA618" i="3"/>
  <c r="Z618" i="3"/>
  <c r="Y618" i="3"/>
  <c r="X618" i="3"/>
  <c r="W618" i="3"/>
  <c r="V618" i="3"/>
  <c r="U618" i="3"/>
  <c r="T618" i="3"/>
  <c r="S618" i="3"/>
  <c r="R618" i="3"/>
  <c r="Q618" i="3"/>
  <c r="P618" i="3"/>
  <c r="O618" i="3"/>
  <c r="N618" i="3"/>
  <c r="M618" i="3"/>
  <c r="L618" i="3"/>
  <c r="K618" i="3"/>
  <c r="J618" i="3"/>
  <c r="I618" i="3"/>
  <c r="H618" i="3"/>
  <c r="G618" i="3"/>
  <c r="F618" i="3"/>
  <c r="E618" i="3"/>
  <c r="D618" i="3"/>
  <c r="AC617" i="3"/>
  <c r="AB617" i="3"/>
  <c r="AA617" i="3"/>
  <c r="Z617" i="3"/>
  <c r="Y617" i="3"/>
  <c r="X617" i="3"/>
  <c r="W617" i="3"/>
  <c r="V617" i="3"/>
  <c r="U617" i="3"/>
  <c r="T617" i="3"/>
  <c r="S617" i="3"/>
  <c r="R617" i="3"/>
  <c r="Q617" i="3"/>
  <c r="P617" i="3"/>
  <c r="O617" i="3"/>
  <c r="N617" i="3"/>
  <c r="M617" i="3"/>
  <c r="L617" i="3"/>
  <c r="K617" i="3"/>
  <c r="J617" i="3"/>
  <c r="I617" i="3"/>
  <c r="H617" i="3"/>
  <c r="G617" i="3"/>
  <c r="F617" i="3"/>
  <c r="E617" i="3"/>
  <c r="D617" i="3"/>
  <c r="AC616" i="3"/>
  <c r="AB616" i="3"/>
  <c r="AA616" i="3"/>
  <c r="Z616" i="3"/>
  <c r="Y616" i="3"/>
  <c r="X616" i="3"/>
  <c r="W616" i="3"/>
  <c r="V616" i="3"/>
  <c r="U616" i="3"/>
  <c r="T616" i="3"/>
  <c r="S616" i="3"/>
  <c r="R616" i="3"/>
  <c r="Q616" i="3"/>
  <c r="P616" i="3"/>
  <c r="O616" i="3"/>
  <c r="N616" i="3"/>
  <c r="M616" i="3"/>
  <c r="L616" i="3"/>
  <c r="K616" i="3"/>
  <c r="J616" i="3"/>
  <c r="I616" i="3"/>
  <c r="H616" i="3"/>
  <c r="G616" i="3"/>
  <c r="F616" i="3"/>
  <c r="E616" i="3"/>
  <c r="D616" i="3"/>
  <c r="AC615" i="3"/>
  <c r="AB615" i="3"/>
  <c r="AA615" i="3"/>
  <c r="Z615" i="3"/>
  <c r="Y615" i="3"/>
  <c r="X615" i="3"/>
  <c r="W615" i="3"/>
  <c r="V615" i="3"/>
  <c r="U615" i="3"/>
  <c r="T615" i="3"/>
  <c r="S615" i="3"/>
  <c r="R615" i="3"/>
  <c r="Q615" i="3"/>
  <c r="P615" i="3"/>
  <c r="O615" i="3"/>
  <c r="N615" i="3"/>
  <c r="M615" i="3"/>
  <c r="L615" i="3"/>
  <c r="K615" i="3"/>
  <c r="J615" i="3"/>
  <c r="I615" i="3"/>
  <c r="H615" i="3"/>
  <c r="G615" i="3"/>
  <c r="F615" i="3"/>
  <c r="E615" i="3"/>
  <c r="D615" i="3"/>
  <c r="AC614" i="3"/>
  <c r="AB614" i="3"/>
  <c r="AA614" i="3"/>
  <c r="Z614" i="3"/>
  <c r="Y614" i="3"/>
  <c r="X614" i="3"/>
  <c r="W614" i="3"/>
  <c r="V614" i="3"/>
  <c r="U614" i="3"/>
  <c r="T614" i="3"/>
  <c r="S614" i="3"/>
  <c r="R614" i="3"/>
  <c r="Q614" i="3"/>
  <c r="P614" i="3"/>
  <c r="O614" i="3"/>
  <c r="N614" i="3"/>
  <c r="M614" i="3"/>
  <c r="L614" i="3"/>
  <c r="K614" i="3"/>
  <c r="J614" i="3"/>
  <c r="I614" i="3"/>
  <c r="H614" i="3"/>
  <c r="G614" i="3"/>
  <c r="F614" i="3"/>
  <c r="E614" i="3"/>
  <c r="D614" i="3"/>
  <c r="AC613" i="3"/>
  <c r="AB613" i="3"/>
  <c r="AA613" i="3"/>
  <c r="Z613" i="3"/>
  <c r="Y613" i="3"/>
  <c r="X613" i="3"/>
  <c r="W613" i="3"/>
  <c r="V613" i="3"/>
  <c r="U613" i="3"/>
  <c r="T613" i="3"/>
  <c r="S613" i="3"/>
  <c r="R613" i="3"/>
  <c r="Q613" i="3"/>
  <c r="P613" i="3"/>
  <c r="O613" i="3"/>
  <c r="N613" i="3"/>
  <c r="M613" i="3"/>
  <c r="L613" i="3"/>
  <c r="K613" i="3"/>
  <c r="J613" i="3"/>
  <c r="I613" i="3"/>
  <c r="H613" i="3"/>
  <c r="G613" i="3"/>
  <c r="F613" i="3"/>
  <c r="E613" i="3"/>
  <c r="D613" i="3"/>
  <c r="AC612" i="3"/>
  <c r="AB612" i="3"/>
  <c r="AA612" i="3"/>
  <c r="Z612" i="3"/>
  <c r="Y612" i="3"/>
  <c r="X612" i="3"/>
  <c r="W612" i="3"/>
  <c r="V612" i="3"/>
  <c r="U612" i="3"/>
  <c r="T612" i="3"/>
  <c r="S612" i="3"/>
  <c r="R612" i="3"/>
  <c r="Q612" i="3"/>
  <c r="P612" i="3"/>
  <c r="O612" i="3"/>
  <c r="N612" i="3"/>
  <c r="M612" i="3"/>
  <c r="L612" i="3"/>
  <c r="I646" i="3" s="1"/>
  <c r="K612" i="3"/>
  <c r="H646" i="3" s="1"/>
  <c r="J612" i="3"/>
  <c r="G646" i="3" s="1"/>
  <c r="I612" i="3"/>
  <c r="F646" i="3" s="1"/>
  <c r="H612" i="3"/>
  <c r="E646" i="3" s="1"/>
  <c r="G612" i="3"/>
  <c r="D646" i="3" s="1"/>
  <c r="F612" i="3"/>
  <c r="C646" i="3" s="1"/>
  <c r="E612" i="3"/>
  <c r="D612" i="3"/>
  <c r="A646" i="3" s="1"/>
  <c r="V5" i="4"/>
  <c r="E430" i="3"/>
  <c r="V10" i="4" s="1"/>
  <c r="E431" i="3"/>
  <c r="V12" i="4" s="1"/>
  <c r="D431" i="3"/>
  <c r="D430" i="3"/>
  <c r="C431" i="3"/>
  <c r="C430" i="3"/>
  <c r="E429" i="3"/>
  <c r="V11" i="4" s="1"/>
  <c r="D429" i="3"/>
  <c r="C429" i="3"/>
  <c r="C428" i="3"/>
  <c r="D428" i="3"/>
  <c r="E428" i="3"/>
  <c r="E427" i="3"/>
  <c r="D427" i="3"/>
  <c r="G425" i="3"/>
  <c r="D495" i="3"/>
  <c r="D483" i="3"/>
  <c r="F13" i="3"/>
  <c r="C13" i="3"/>
  <c r="A13" i="3"/>
  <c r="D472" i="3"/>
  <c r="D473" i="3"/>
  <c r="D474" i="3"/>
  <c r="D475" i="3"/>
  <c r="D476" i="3"/>
  <c r="D477" i="3"/>
  <c r="D478" i="3"/>
  <c r="D479" i="3"/>
  <c r="D480" i="3"/>
  <c r="D481" i="3"/>
  <c r="D482" i="3"/>
  <c r="D484" i="3"/>
  <c r="D485" i="3"/>
  <c r="D486" i="3"/>
  <c r="D487" i="3"/>
  <c r="D488" i="3"/>
  <c r="D489" i="3"/>
  <c r="D490" i="3"/>
  <c r="D491" i="3"/>
  <c r="D492" i="3"/>
  <c r="D493" i="3"/>
  <c r="D494" i="3"/>
  <c r="D496" i="3"/>
  <c r="D497" i="3"/>
  <c r="D498" i="3"/>
  <c r="D499" i="3"/>
  <c r="C319" i="3"/>
  <c r="C318" i="3"/>
  <c r="C317" i="3"/>
  <c r="C316" i="3"/>
  <c r="C315" i="3"/>
  <c r="C314" i="3"/>
  <c r="C313" i="3"/>
  <c r="C312" i="3"/>
  <c r="AR115" i="1"/>
  <c r="AR112" i="1"/>
  <c r="AR373" i="1"/>
  <c r="AR370" i="1"/>
  <c r="AR367" i="1"/>
  <c r="AR364" i="1"/>
  <c r="AR361" i="1"/>
  <c r="AR358" i="1"/>
  <c r="AR355" i="1"/>
  <c r="AR352" i="1"/>
  <c r="AR349" i="1"/>
  <c r="AR346" i="1"/>
  <c r="AR343" i="1"/>
  <c r="AR340" i="1"/>
  <c r="AR337" i="1"/>
  <c r="AR334" i="1"/>
  <c r="AR331" i="1"/>
  <c r="AR328" i="1"/>
  <c r="AR325" i="1"/>
  <c r="AR322" i="1"/>
  <c r="AR319" i="1"/>
  <c r="AR316" i="1"/>
  <c r="AR313" i="1"/>
  <c r="AR310" i="1"/>
  <c r="AR307" i="1"/>
  <c r="AR304" i="1"/>
  <c r="AR301" i="1"/>
  <c r="AR298" i="1"/>
  <c r="AR295" i="1"/>
  <c r="AR292" i="1"/>
  <c r="AR289" i="1"/>
  <c r="AR286" i="1"/>
  <c r="AR283" i="1"/>
  <c r="AR280" i="1"/>
  <c r="AR277" i="1"/>
  <c r="AR274" i="1"/>
  <c r="AR271" i="1"/>
  <c r="AR268" i="1"/>
  <c r="AR265" i="1"/>
  <c r="AR262" i="1"/>
  <c r="AR259" i="1"/>
  <c r="AR256" i="1"/>
  <c r="AR253" i="1"/>
  <c r="AR250" i="1"/>
  <c r="AR247" i="1"/>
  <c r="AR244" i="1"/>
  <c r="AR241" i="1"/>
  <c r="AR238" i="1"/>
  <c r="AR235" i="1"/>
  <c r="AR232" i="1"/>
  <c r="AR229" i="1"/>
  <c r="AR226" i="1"/>
  <c r="AR223" i="1"/>
  <c r="AR220" i="1"/>
  <c r="AR217" i="1"/>
  <c r="AR214" i="1"/>
  <c r="AR211" i="1"/>
  <c r="AR208" i="1"/>
  <c r="AR205" i="1"/>
  <c r="AR202" i="1"/>
  <c r="AR199" i="1"/>
  <c r="AR196" i="1"/>
  <c r="AR193" i="1"/>
  <c r="AR190" i="1"/>
  <c r="AR187" i="1"/>
  <c r="AR184" i="1"/>
  <c r="AR181" i="1"/>
  <c r="AR178" i="1"/>
  <c r="AR175" i="1"/>
  <c r="AR172" i="1"/>
  <c r="AR169" i="1"/>
  <c r="AR166" i="1"/>
  <c r="AR163" i="1"/>
  <c r="AR160" i="1"/>
  <c r="AR157" i="1"/>
  <c r="AR154" i="1"/>
  <c r="AR151" i="1"/>
  <c r="AR148" i="1"/>
  <c r="AR145" i="1"/>
  <c r="AR142" i="1"/>
  <c r="AR139" i="1"/>
  <c r="AR136" i="1"/>
  <c r="AR133" i="1"/>
  <c r="AR130" i="1"/>
  <c r="AR127" i="1"/>
  <c r="AR124" i="1"/>
  <c r="AR121" i="1"/>
  <c r="AR118" i="1"/>
  <c r="W646" i="3" l="1"/>
  <c r="X646" i="3"/>
  <c r="Y646" i="3"/>
  <c r="Z646" i="3"/>
  <c r="J646" i="3"/>
  <c r="K646" i="3"/>
  <c r="V13" i="4" s="1" a="1"/>
  <c r="L646" i="3"/>
  <c r="M646" i="3"/>
  <c r="N646" i="3"/>
  <c r="O646" i="3"/>
  <c r="P646" i="3"/>
  <c r="Q646" i="3"/>
  <c r="R646" i="3"/>
  <c r="S646" i="3"/>
  <c r="T646" i="3"/>
  <c r="U646" i="3"/>
  <c r="V646" i="3"/>
  <c r="B646" i="3"/>
  <c r="D313" i="3"/>
  <c r="D318" i="3"/>
  <c r="D314" i="3"/>
  <c r="D315" i="3"/>
  <c r="D316" i="3"/>
  <c r="D317" i="3"/>
  <c r="D319" i="3"/>
  <c r="AQ151" i="1" l="1"/>
  <c r="AP151" i="1"/>
  <c r="AO151" i="1"/>
  <c r="AN151" i="1"/>
  <c r="AM151" i="1"/>
  <c r="AL151" i="1"/>
  <c r="AK151" i="1"/>
  <c r="AJ151" i="1"/>
  <c r="AI151" i="1"/>
  <c r="AH151" i="1"/>
  <c r="AG151" i="1"/>
  <c r="AF151" i="1"/>
  <c r="AQ148" i="1"/>
  <c r="AP148" i="1"/>
  <c r="AO148" i="1"/>
  <c r="AN148" i="1"/>
  <c r="AM148" i="1"/>
  <c r="AL148" i="1"/>
  <c r="AK148" i="1"/>
  <c r="AJ148" i="1"/>
  <c r="AI148" i="1"/>
  <c r="AH148" i="1"/>
  <c r="AG148" i="1"/>
  <c r="AF148" i="1"/>
  <c r="AQ145" i="1"/>
  <c r="AP145" i="1"/>
  <c r="AO145" i="1"/>
  <c r="AN145" i="1"/>
  <c r="AM145" i="1"/>
  <c r="AL145" i="1"/>
  <c r="AK145" i="1"/>
  <c r="AJ145" i="1"/>
  <c r="AI145" i="1"/>
  <c r="AH145" i="1"/>
  <c r="AG145" i="1"/>
  <c r="AF145" i="1"/>
  <c r="AQ142" i="1"/>
  <c r="AP142" i="1"/>
  <c r="AO142" i="1"/>
  <c r="AN142" i="1"/>
  <c r="AM142" i="1"/>
  <c r="AL142" i="1"/>
  <c r="AK142" i="1"/>
  <c r="AJ142" i="1"/>
  <c r="AI142" i="1"/>
  <c r="AH142" i="1"/>
  <c r="AG142" i="1"/>
  <c r="AF142" i="1"/>
  <c r="AQ139" i="1"/>
  <c r="AP139" i="1"/>
  <c r="AO139" i="1"/>
  <c r="AN139" i="1"/>
  <c r="AM139" i="1"/>
  <c r="AL139" i="1"/>
  <c r="AK139" i="1"/>
  <c r="AJ139" i="1"/>
  <c r="AI139" i="1"/>
  <c r="AH139" i="1"/>
  <c r="AG139" i="1"/>
  <c r="AF139" i="1"/>
  <c r="AQ136" i="1"/>
  <c r="AP136" i="1"/>
  <c r="AO136" i="1"/>
  <c r="AN136" i="1"/>
  <c r="AM136" i="1"/>
  <c r="AL136" i="1"/>
  <c r="AK136" i="1"/>
  <c r="AJ136" i="1"/>
  <c r="AI136" i="1"/>
  <c r="AH136" i="1"/>
  <c r="AG136" i="1"/>
  <c r="AF136" i="1"/>
  <c r="AQ133" i="1"/>
  <c r="AP133" i="1"/>
  <c r="AO133" i="1"/>
  <c r="AN133" i="1"/>
  <c r="AM133" i="1"/>
  <c r="AL133" i="1"/>
  <c r="AK133" i="1"/>
  <c r="AJ133" i="1"/>
  <c r="AI133" i="1"/>
  <c r="AH133" i="1"/>
  <c r="AG133" i="1"/>
  <c r="AF133" i="1"/>
  <c r="AQ130" i="1"/>
  <c r="AP130" i="1"/>
  <c r="AO130" i="1"/>
  <c r="AN130" i="1"/>
  <c r="AM130" i="1"/>
  <c r="AL130" i="1"/>
  <c r="AK130" i="1"/>
  <c r="AJ130" i="1"/>
  <c r="AI130" i="1"/>
  <c r="AH130" i="1"/>
  <c r="AG130" i="1"/>
  <c r="AF130" i="1"/>
  <c r="AQ127" i="1"/>
  <c r="AP127" i="1"/>
  <c r="AO127" i="1"/>
  <c r="AN127" i="1"/>
  <c r="AM127" i="1"/>
  <c r="AL127" i="1"/>
  <c r="AK127" i="1"/>
  <c r="AJ127" i="1"/>
  <c r="AI127" i="1"/>
  <c r="AH127" i="1"/>
  <c r="AG127" i="1"/>
  <c r="AF127" i="1"/>
  <c r="AQ124" i="1"/>
  <c r="AP124" i="1"/>
  <c r="AO124" i="1"/>
  <c r="AN124" i="1"/>
  <c r="AM124" i="1"/>
  <c r="AL124" i="1"/>
  <c r="AK124" i="1"/>
  <c r="AJ124" i="1"/>
  <c r="AI124" i="1"/>
  <c r="AH124" i="1"/>
  <c r="AG124" i="1"/>
  <c r="AF124" i="1"/>
  <c r="AQ121" i="1"/>
  <c r="AP121" i="1"/>
  <c r="AO121" i="1"/>
  <c r="AN121" i="1"/>
  <c r="AM121" i="1"/>
  <c r="AL121" i="1"/>
  <c r="AK121" i="1"/>
  <c r="AJ121" i="1"/>
  <c r="AI121" i="1"/>
  <c r="AH121" i="1"/>
  <c r="AG121" i="1"/>
  <c r="AF121" i="1"/>
  <c r="AQ118" i="1"/>
  <c r="AP118" i="1"/>
  <c r="AO118" i="1"/>
  <c r="AN118" i="1"/>
  <c r="AM118" i="1"/>
  <c r="AL118" i="1"/>
  <c r="AK118" i="1"/>
  <c r="AJ118" i="1"/>
  <c r="AI118" i="1"/>
  <c r="AH118" i="1"/>
  <c r="AG118" i="1"/>
  <c r="AF118" i="1"/>
  <c r="AE151" i="1"/>
  <c r="AE148" i="1"/>
  <c r="AE145" i="1"/>
  <c r="AE142" i="1"/>
  <c r="AE139" i="1"/>
  <c r="AE136" i="1"/>
  <c r="AE133" i="1"/>
  <c r="AE130" i="1"/>
  <c r="AE127" i="1"/>
  <c r="AE124" i="1"/>
  <c r="AE121" i="1"/>
  <c r="AE118" i="1"/>
  <c r="AQ253" i="1"/>
  <c r="AP253" i="1"/>
  <c r="AO253" i="1"/>
  <c r="AN253" i="1"/>
  <c r="AM253" i="1"/>
  <c r="AL253" i="1"/>
  <c r="AK253" i="1"/>
  <c r="AJ253" i="1"/>
  <c r="AI253" i="1"/>
  <c r="AH253" i="1"/>
  <c r="AG253" i="1"/>
  <c r="AF253" i="1"/>
  <c r="AQ250" i="1"/>
  <c r="AP250" i="1"/>
  <c r="AO250" i="1"/>
  <c r="AN250" i="1"/>
  <c r="AM250" i="1"/>
  <c r="AL250" i="1"/>
  <c r="AK250" i="1"/>
  <c r="AJ250" i="1"/>
  <c r="AI250" i="1"/>
  <c r="AH250" i="1"/>
  <c r="AG250" i="1"/>
  <c r="AF250" i="1"/>
  <c r="AQ247" i="1"/>
  <c r="AP247" i="1"/>
  <c r="AO247" i="1"/>
  <c r="AN247" i="1"/>
  <c r="AM247" i="1"/>
  <c r="AL247" i="1"/>
  <c r="AK247" i="1"/>
  <c r="AJ247" i="1"/>
  <c r="AI247" i="1"/>
  <c r="AH247" i="1"/>
  <c r="AG247" i="1"/>
  <c r="AF247" i="1"/>
  <c r="AQ244" i="1"/>
  <c r="AP244" i="1"/>
  <c r="AO244" i="1"/>
  <c r="AN244" i="1"/>
  <c r="AM244" i="1"/>
  <c r="AL244" i="1"/>
  <c r="AK244" i="1"/>
  <c r="AJ244" i="1"/>
  <c r="AI244" i="1"/>
  <c r="AH244" i="1"/>
  <c r="AG244" i="1"/>
  <c r="AF244" i="1"/>
  <c r="AQ241" i="1"/>
  <c r="AP241" i="1"/>
  <c r="AO241" i="1"/>
  <c r="AN241" i="1"/>
  <c r="AM241" i="1"/>
  <c r="AL241" i="1"/>
  <c r="AK241" i="1"/>
  <c r="AJ241" i="1"/>
  <c r="AI241" i="1"/>
  <c r="AH241" i="1"/>
  <c r="AG241" i="1"/>
  <c r="AF241" i="1"/>
  <c r="AQ238" i="1"/>
  <c r="AP238" i="1"/>
  <c r="AO238" i="1"/>
  <c r="AN238" i="1"/>
  <c r="AM238" i="1"/>
  <c r="AL238" i="1"/>
  <c r="AK238" i="1"/>
  <c r="AJ238" i="1"/>
  <c r="AI238" i="1"/>
  <c r="AH238" i="1"/>
  <c r="AG238" i="1"/>
  <c r="AF238" i="1"/>
  <c r="AQ235" i="1"/>
  <c r="AP235" i="1"/>
  <c r="AO235" i="1"/>
  <c r="AN235" i="1"/>
  <c r="AM235" i="1"/>
  <c r="AL235" i="1"/>
  <c r="AK235" i="1"/>
  <c r="AJ235" i="1"/>
  <c r="AI235" i="1"/>
  <c r="AH235" i="1"/>
  <c r="AG235" i="1"/>
  <c r="AF235" i="1"/>
  <c r="AQ232" i="1"/>
  <c r="AP232" i="1"/>
  <c r="AO232" i="1"/>
  <c r="AN232" i="1"/>
  <c r="AM232" i="1"/>
  <c r="AL232" i="1"/>
  <c r="AK232" i="1"/>
  <c r="AJ232" i="1"/>
  <c r="AI232" i="1"/>
  <c r="AH232" i="1"/>
  <c r="AG232" i="1"/>
  <c r="AF232" i="1"/>
  <c r="AQ229" i="1"/>
  <c r="AP229" i="1"/>
  <c r="AO229" i="1"/>
  <c r="AN229" i="1"/>
  <c r="AM229" i="1"/>
  <c r="AL229" i="1"/>
  <c r="AK229" i="1"/>
  <c r="AJ229" i="1"/>
  <c r="AI229" i="1"/>
  <c r="AH229" i="1"/>
  <c r="AG229" i="1"/>
  <c r="AF229" i="1"/>
  <c r="AQ226" i="1"/>
  <c r="AP226" i="1"/>
  <c r="AO226" i="1"/>
  <c r="AN226" i="1"/>
  <c r="AM226" i="1"/>
  <c r="AL226" i="1"/>
  <c r="AK226" i="1"/>
  <c r="AJ226" i="1"/>
  <c r="AI226" i="1"/>
  <c r="AH226" i="1"/>
  <c r="AG226" i="1"/>
  <c r="AF226" i="1"/>
  <c r="AQ223" i="1"/>
  <c r="AP223" i="1"/>
  <c r="AO223" i="1"/>
  <c r="AN223" i="1"/>
  <c r="AM223" i="1"/>
  <c r="AL223" i="1"/>
  <c r="AK223" i="1"/>
  <c r="AJ223" i="1"/>
  <c r="AI223" i="1"/>
  <c r="AH223" i="1"/>
  <c r="AG223" i="1"/>
  <c r="AF223" i="1"/>
  <c r="AQ220" i="1"/>
  <c r="AP220" i="1"/>
  <c r="AO220" i="1"/>
  <c r="AN220" i="1"/>
  <c r="AM220" i="1"/>
  <c r="AL220" i="1"/>
  <c r="AK220" i="1"/>
  <c r="AJ220" i="1"/>
  <c r="AI220" i="1"/>
  <c r="AH220" i="1"/>
  <c r="AG220" i="1"/>
  <c r="AF220" i="1"/>
  <c r="AQ217" i="1"/>
  <c r="AP217" i="1"/>
  <c r="AO217" i="1"/>
  <c r="AN217" i="1"/>
  <c r="AM217" i="1"/>
  <c r="AL217" i="1"/>
  <c r="AK217" i="1"/>
  <c r="AJ217" i="1"/>
  <c r="AI217" i="1"/>
  <c r="AH217" i="1"/>
  <c r="AG217" i="1"/>
  <c r="AF217" i="1"/>
  <c r="AQ214" i="1"/>
  <c r="AP214" i="1"/>
  <c r="AO214" i="1"/>
  <c r="AN214" i="1"/>
  <c r="AM214" i="1"/>
  <c r="AL214" i="1"/>
  <c r="AK214" i="1"/>
  <c r="AJ214" i="1"/>
  <c r="AI214" i="1"/>
  <c r="AH214" i="1"/>
  <c r="AG214" i="1"/>
  <c r="AF214" i="1"/>
  <c r="AQ211" i="1"/>
  <c r="AP211" i="1"/>
  <c r="AO211" i="1"/>
  <c r="AN211" i="1"/>
  <c r="AM211" i="1"/>
  <c r="AL211" i="1"/>
  <c r="AK211" i="1"/>
  <c r="AJ211" i="1"/>
  <c r="AI211" i="1"/>
  <c r="AH211" i="1"/>
  <c r="AG211" i="1"/>
  <c r="AF211" i="1"/>
  <c r="AQ208" i="1"/>
  <c r="AP208" i="1"/>
  <c r="AO208" i="1"/>
  <c r="AN208" i="1"/>
  <c r="AM208" i="1"/>
  <c r="AL208" i="1"/>
  <c r="AK208" i="1"/>
  <c r="AJ208" i="1"/>
  <c r="AI208" i="1"/>
  <c r="AH208" i="1"/>
  <c r="AG208" i="1"/>
  <c r="AF208" i="1"/>
  <c r="AQ205" i="1"/>
  <c r="AP205" i="1"/>
  <c r="AO205" i="1"/>
  <c r="AN205" i="1"/>
  <c r="AM205" i="1"/>
  <c r="AL205" i="1"/>
  <c r="AK205" i="1"/>
  <c r="AJ205" i="1"/>
  <c r="AI205" i="1"/>
  <c r="AH205" i="1"/>
  <c r="AG205" i="1"/>
  <c r="AF205" i="1"/>
  <c r="AQ202" i="1"/>
  <c r="AP202" i="1"/>
  <c r="AO202" i="1"/>
  <c r="AN202" i="1"/>
  <c r="AM202" i="1"/>
  <c r="AL202" i="1"/>
  <c r="AK202" i="1"/>
  <c r="AJ202" i="1"/>
  <c r="AI202" i="1"/>
  <c r="AH202" i="1"/>
  <c r="AG202" i="1"/>
  <c r="AF202" i="1"/>
  <c r="AQ199" i="1"/>
  <c r="AP199" i="1"/>
  <c r="AO199" i="1"/>
  <c r="AN199" i="1"/>
  <c r="AM199" i="1"/>
  <c r="AL199" i="1"/>
  <c r="AK199" i="1"/>
  <c r="AJ199" i="1"/>
  <c r="AI199" i="1"/>
  <c r="AH199" i="1"/>
  <c r="AG199" i="1"/>
  <c r="AF199" i="1"/>
  <c r="AQ196" i="1"/>
  <c r="AP196" i="1"/>
  <c r="AO196" i="1"/>
  <c r="AN196" i="1"/>
  <c r="AM196" i="1"/>
  <c r="AL196" i="1"/>
  <c r="AK196" i="1"/>
  <c r="AJ196" i="1"/>
  <c r="AI196" i="1"/>
  <c r="AH196" i="1"/>
  <c r="AG196" i="1"/>
  <c r="AF196" i="1"/>
  <c r="AQ193" i="1"/>
  <c r="AP193" i="1"/>
  <c r="AO193" i="1"/>
  <c r="AN193" i="1"/>
  <c r="AM193" i="1"/>
  <c r="AL193" i="1"/>
  <c r="AK193" i="1"/>
  <c r="AJ193" i="1"/>
  <c r="AI193" i="1"/>
  <c r="AH193" i="1"/>
  <c r="AG193" i="1"/>
  <c r="AF193" i="1"/>
  <c r="AQ190" i="1"/>
  <c r="AP190" i="1"/>
  <c r="AO190" i="1"/>
  <c r="AN190" i="1"/>
  <c r="AM190" i="1"/>
  <c r="AL190" i="1"/>
  <c r="AK190" i="1"/>
  <c r="AJ190" i="1"/>
  <c r="AI190" i="1"/>
  <c r="AH190" i="1"/>
  <c r="AG190" i="1"/>
  <c r="AF190" i="1"/>
  <c r="AQ187" i="1"/>
  <c r="AP187" i="1"/>
  <c r="AO187" i="1"/>
  <c r="AN187" i="1"/>
  <c r="AM187" i="1"/>
  <c r="AL187" i="1"/>
  <c r="AK187" i="1"/>
  <c r="AJ187" i="1"/>
  <c r="AI187" i="1"/>
  <c r="AH187" i="1"/>
  <c r="AG187" i="1"/>
  <c r="AF187" i="1"/>
  <c r="AQ184" i="1"/>
  <c r="AP184" i="1"/>
  <c r="AO184" i="1"/>
  <c r="AN184" i="1"/>
  <c r="AM184" i="1"/>
  <c r="AL184" i="1"/>
  <c r="AK184" i="1"/>
  <c r="AJ184" i="1"/>
  <c r="AI184" i="1"/>
  <c r="AH184" i="1"/>
  <c r="AG184" i="1"/>
  <c r="AF184" i="1"/>
  <c r="AQ181" i="1"/>
  <c r="AP181" i="1"/>
  <c r="AO181" i="1"/>
  <c r="AN181" i="1"/>
  <c r="AM181" i="1"/>
  <c r="AL181" i="1"/>
  <c r="AK181" i="1"/>
  <c r="AJ181" i="1"/>
  <c r="AI181" i="1"/>
  <c r="AH181" i="1"/>
  <c r="AG181" i="1"/>
  <c r="AF181" i="1"/>
  <c r="AQ178" i="1"/>
  <c r="AP178" i="1"/>
  <c r="AO178" i="1"/>
  <c r="AN178" i="1"/>
  <c r="AM178" i="1"/>
  <c r="AL178" i="1"/>
  <c r="AK178" i="1"/>
  <c r="AJ178" i="1"/>
  <c r="AI178" i="1"/>
  <c r="AH178" i="1"/>
  <c r="AG178" i="1"/>
  <c r="AF178" i="1"/>
  <c r="AQ175" i="1"/>
  <c r="AP175" i="1"/>
  <c r="AO175" i="1"/>
  <c r="AN175" i="1"/>
  <c r="AM175" i="1"/>
  <c r="AL175" i="1"/>
  <c r="AK175" i="1"/>
  <c r="AJ175" i="1"/>
  <c r="AI175" i="1"/>
  <c r="AH175" i="1"/>
  <c r="AG175" i="1"/>
  <c r="AF175" i="1"/>
  <c r="AQ172" i="1"/>
  <c r="AP172" i="1"/>
  <c r="AO172" i="1"/>
  <c r="AN172" i="1"/>
  <c r="AM172" i="1"/>
  <c r="AL172" i="1"/>
  <c r="AK172" i="1"/>
  <c r="AJ172" i="1"/>
  <c r="AI172" i="1"/>
  <c r="AH172" i="1"/>
  <c r="AG172" i="1"/>
  <c r="AF172" i="1"/>
  <c r="AQ169" i="1"/>
  <c r="AP169" i="1"/>
  <c r="AO169" i="1"/>
  <c r="AN169" i="1"/>
  <c r="AM169" i="1"/>
  <c r="AL169" i="1"/>
  <c r="AK169" i="1"/>
  <c r="AJ169" i="1"/>
  <c r="AI169" i="1"/>
  <c r="AH169" i="1"/>
  <c r="AG169" i="1"/>
  <c r="AF169" i="1"/>
  <c r="AQ166" i="1"/>
  <c r="AP166" i="1"/>
  <c r="AO166" i="1"/>
  <c r="AN166" i="1"/>
  <c r="AM166" i="1"/>
  <c r="AL166" i="1"/>
  <c r="AK166" i="1"/>
  <c r="AJ166" i="1"/>
  <c r="AI166" i="1"/>
  <c r="AH166" i="1"/>
  <c r="AG166" i="1"/>
  <c r="AF166" i="1"/>
  <c r="AQ163" i="1"/>
  <c r="AP163" i="1"/>
  <c r="AO163" i="1"/>
  <c r="AN163" i="1"/>
  <c r="AM163" i="1"/>
  <c r="AL163" i="1"/>
  <c r="AK163" i="1"/>
  <c r="AJ163" i="1"/>
  <c r="AI163" i="1"/>
  <c r="AH163" i="1"/>
  <c r="AG163" i="1"/>
  <c r="AF163" i="1"/>
  <c r="AQ160" i="1"/>
  <c r="AP160" i="1"/>
  <c r="AO160" i="1"/>
  <c r="AN160" i="1"/>
  <c r="AM160" i="1"/>
  <c r="AL160" i="1"/>
  <c r="AK160" i="1"/>
  <c r="AJ160" i="1"/>
  <c r="AI160" i="1"/>
  <c r="AH160" i="1"/>
  <c r="AG160" i="1"/>
  <c r="AF160" i="1"/>
  <c r="AQ157" i="1"/>
  <c r="AP157" i="1"/>
  <c r="AO157" i="1"/>
  <c r="AN157" i="1"/>
  <c r="AM157" i="1"/>
  <c r="AL157" i="1"/>
  <c r="AK157" i="1"/>
  <c r="AJ157" i="1"/>
  <c r="AI157" i="1"/>
  <c r="AH157" i="1"/>
  <c r="AG157" i="1"/>
  <c r="AF157" i="1"/>
  <c r="AQ154" i="1"/>
  <c r="AP154" i="1"/>
  <c r="AO154" i="1"/>
  <c r="AN154" i="1"/>
  <c r="AM154" i="1"/>
  <c r="AL154" i="1"/>
  <c r="AK154" i="1"/>
  <c r="AJ154" i="1"/>
  <c r="AI154" i="1"/>
  <c r="AH154" i="1"/>
  <c r="AG154" i="1"/>
  <c r="AF154" i="1"/>
  <c r="AE253" i="1"/>
  <c r="AE250" i="1"/>
  <c r="AE247" i="1"/>
  <c r="AE244" i="1"/>
  <c r="AE241" i="1"/>
  <c r="AE238" i="1"/>
  <c r="AE235" i="1"/>
  <c r="AE232" i="1"/>
  <c r="AE229" i="1"/>
  <c r="AE226" i="1"/>
  <c r="AE223" i="1"/>
  <c r="AE220" i="1"/>
  <c r="AE217" i="1"/>
  <c r="AE214" i="1"/>
  <c r="AE211" i="1"/>
  <c r="AE208" i="1"/>
  <c r="AE205" i="1"/>
  <c r="AE202" i="1"/>
  <c r="AE199" i="1"/>
  <c r="AE196" i="1"/>
  <c r="AE193" i="1"/>
  <c r="AE190" i="1"/>
  <c r="AE187" i="1"/>
  <c r="AE184" i="1"/>
  <c r="AE181" i="1"/>
  <c r="AE178" i="1"/>
  <c r="AE175" i="1"/>
  <c r="AE172" i="1"/>
  <c r="AE169" i="1"/>
  <c r="AE166" i="1"/>
  <c r="AE163" i="1"/>
  <c r="AE160" i="1"/>
  <c r="AE157" i="1"/>
  <c r="AE154" i="1"/>
  <c r="AE152" i="1"/>
  <c r="AQ334" i="1"/>
  <c r="AP334" i="1"/>
  <c r="AO334" i="1"/>
  <c r="AN334" i="1"/>
  <c r="AM334" i="1"/>
  <c r="AL334" i="1"/>
  <c r="AK334" i="1"/>
  <c r="AJ334" i="1"/>
  <c r="AI334" i="1"/>
  <c r="AH334" i="1"/>
  <c r="AG334" i="1"/>
  <c r="AF334" i="1"/>
  <c r="AQ331" i="1"/>
  <c r="AP331" i="1"/>
  <c r="AO331" i="1"/>
  <c r="AN331" i="1"/>
  <c r="AM331" i="1"/>
  <c r="AL331" i="1"/>
  <c r="AK331" i="1"/>
  <c r="AJ331" i="1"/>
  <c r="AI331" i="1"/>
  <c r="AH331" i="1"/>
  <c r="AG331" i="1"/>
  <c r="AF331" i="1"/>
  <c r="AQ328" i="1"/>
  <c r="AP328" i="1"/>
  <c r="AO328" i="1"/>
  <c r="AN328" i="1"/>
  <c r="AM328" i="1"/>
  <c r="AL328" i="1"/>
  <c r="AK328" i="1"/>
  <c r="AJ328" i="1"/>
  <c r="AI328" i="1"/>
  <c r="AH328" i="1"/>
  <c r="AG328" i="1"/>
  <c r="AF328" i="1"/>
  <c r="AQ325" i="1"/>
  <c r="AP325" i="1"/>
  <c r="AO325" i="1"/>
  <c r="AN325" i="1"/>
  <c r="AM325" i="1"/>
  <c r="AL325" i="1"/>
  <c r="AK325" i="1"/>
  <c r="AJ325" i="1"/>
  <c r="AI325" i="1"/>
  <c r="AH325" i="1"/>
  <c r="AG325" i="1"/>
  <c r="AF325" i="1"/>
  <c r="AQ322" i="1"/>
  <c r="AP322" i="1"/>
  <c r="AO322" i="1"/>
  <c r="AN322" i="1"/>
  <c r="AM322" i="1"/>
  <c r="AL322" i="1"/>
  <c r="AK322" i="1"/>
  <c r="AJ322" i="1"/>
  <c r="AI322" i="1"/>
  <c r="AH322" i="1"/>
  <c r="AG322" i="1"/>
  <c r="AF322" i="1"/>
  <c r="AQ319" i="1"/>
  <c r="AP319" i="1"/>
  <c r="AO319" i="1"/>
  <c r="AN319" i="1"/>
  <c r="AM319" i="1"/>
  <c r="AL319" i="1"/>
  <c r="AK319" i="1"/>
  <c r="AJ319" i="1"/>
  <c r="AI319" i="1"/>
  <c r="AH319" i="1"/>
  <c r="AG319" i="1"/>
  <c r="AF319" i="1"/>
  <c r="AQ316" i="1"/>
  <c r="AP316" i="1"/>
  <c r="AO316" i="1"/>
  <c r="AN316" i="1"/>
  <c r="AM316" i="1"/>
  <c r="AL316" i="1"/>
  <c r="AK316" i="1"/>
  <c r="AJ316" i="1"/>
  <c r="AI316" i="1"/>
  <c r="AH316" i="1"/>
  <c r="AG316" i="1"/>
  <c r="AF316" i="1"/>
  <c r="AQ313" i="1"/>
  <c r="AP313" i="1"/>
  <c r="AO313" i="1"/>
  <c r="AN313" i="1"/>
  <c r="AM313" i="1"/>
  <c r="AL313" i="1"/>
  <c r="AK313" i="1"/>
  <c r="AJ313" i="1"/>
  <c r="AI313" i="1"/>
  <c r="AH313" i="1"/>
  <c r="AG313" i="1"/>
  <c r="AF313" i="1"/>
  <c r="AQ310" i="1"/>
  <c r="AP310" i="1"/>
  <c r="AO310" i="1"/>
  <c r="AN310" i="1"/>
  <c r="AM310" i="1"/>
  <c r="AL310" i="1"/>
  <c r="AK310" i="1"/>
  <c r="AJ310" i="1"/>
  <c r="AI310" i="1"/>
  <c r="AH310" i="1"/>
  <c r="AG310" i="1"/>
  <c r="AF310" i="1"/>
  <c r="AQ307" i="1"/>
  <c r="AP307" i="1"/>
  <c r="AO307" i="1"/>
  <c r="AN307" i="1"/>
  <c r="AM307" i="1"/>
  <c r="AL307" i="1"/>
  <c r="AK307" i="1"/>
  <c r="AJ307" i="1"/>
  <c r="AI307" i="1"/>
  <c r="AH307" i="1"/>
  <c r="AG307" i="1"/>
  <c r="AF307" i="1"/>
  <c r="AQ304" i="1"/>
  <c r="AP304" i="1"/>
  <c r="AO304" i="1"/>
  <c r="AN304" i="1"/>
  <c r="AM304" i="1"/>
  <c r="AL304" i="1"/>
  <c r="AK304" i="1"/>
  <c r="AJ304" i="1"/>
  <c r="AI304" i="1"/>
  <c r="AH304" i="1"/>
  <c r="AG304" i="1"/>
  <c r="AF304" i="1"/>
  <c r="AQ301" i="1"/>
  <c r="AP301" i="1"/>
  <c r="AO301" i="1"/>
  <c r="AN301" i="1"/>
  <c r="AM301" i="1"/>
  <c r="AL301" i="1"/>
  <c r="AK301" i="1"/>
  <c r="AJ301" i="1"/>
  <c r="AI301" i="1"/>
  <c r="AH301" i="1"/>
  <c r="AG301" i="1"/>
  <c r="AF301" i="1"/>
  <c r="AQ298" i="1"/>
  <c r="AP298" i="1"/>
  <c r="AO298" i="1"/>
  <c r="AN298" i="1"/>
  <c r="AM298" i="1"/>
  <c r="AL298" i="1"/>
  <c r="AK298" i="1"/>
  <c r="AJ298" i="1"/>
  <c r="AI298" i="1"/>
  <c r="AH298" i="1"/>
  <c r="AG298" i="1"/>
  <c r="AF298" i="1"/>
  <c r="AQ295" i="1"/>
  <c r="AP295" i="1"/>
  <c r="AO295" i="1"/>
  <c r="AN295" i="1"/>
  <c r="AM295" i="1"/>
  <c r="AL295" i="1"/>
  <c r="AK295" i="1"/>
  <c r="AJ295" i="1"/>
  <c r="AI295" i="1"/>
  <c r="AH295" i="1"/>
  <c r="AG295" i="1"/>
  <c r="AF295" i="1"/>
  <c r="AQ292" i="1"/>
  <c r="AP292" i="1"/>
  <c r="AO292" i="1"/>
  <c r="AN292" i="1"/>
  <c r="AM292" i="1"/>
  <c r="AL292" i="1"/>
  <c r="AK292" i="1"/>
  <c r="AJ292" i="1"/>
  <c r="AI292" i="1"/>
  <c r="AH292" i="1"/>
  <c r="AG292" i="1"/>
  <c r="AF292" i="1"/>
  <c r="AQ289" i="1"/>
  <c r="AP289" i="1"/>
  <c r="AO289" i="1"/>
  <c r="AN289" i="1"/>
  <c r="AM289" i="1"/>
  <c r="AL289" i="1"/>
  <c r="AK289" i="1"/>
  <c r="AJ289" i="1"/>
  <c r="AI289" i="1"/>
  <c r="AH289" i="1"/>
  <c r="AG289" i="1"/>
  <c r="AF289" i="1"/>
  <c r="AQ286" i="1"/>
  <c r="AP286" i="1"/>
  <c r="AO286" i="1"/>
  <c r="AN286" i="1"/>
  <c r="AM286" i="1"/>
  <c r="AL286" i="1"/>
  <c r="AK286" i="1"/>
  <c r="AJ286" i="1"/>
  <c r="AI286" i="1"/>
  <c r="AH286" i="1"/>
  <c r="AG286" i="1"/>
  <c r="AF286" i="1"/>
  <c r="AQ283" i="1"/>
  <c r="AP283" i="1"/>
  <c r="AO283" i="1"/>
  <c r="AN283" i="1"/>
  <c r="AM283" i="1"/>
  <c r="AL283" i="1"/>
  <c r="AK283" i="1"/>
  <c r="AJ283" i="1"/>
  <c r="AI283" i="1"/>
  <c r="AH283" i="1"/>
  <c r="AG283" i="1"/>
  <c r="AF283" i="1"/>
  <c r="AQ280" i="1"/>
  <c r="AP280" i="1"/>
  <c r="AO280" i="1"/>
  <c r="AN280" i="1"/>
  <c r="AM280" i="1"/>
  <c r="AL280" i="1"/>
  <c r="AK280" i="1"/>
  <c r="AJ280" i="1"/>
  <c r="AI280" i="1"/>
  <c r="AH280" i="1"/>
  <c r="AG280" i="1"/>
  <c r="AF280" i="1"/>
  <c r="AQ277" i="1"/>
  <c r="AP277" i="1"/>
  <c r="AO277" i="1"/>
  <c r="AN277" i="1"/>
  <c r="AM277" i="1"/>
  <c r="AL277" i="1"/>
  <c r="AK277" i="1"/>
  <c r="AJ277" i="1"/>
  <c r="AI277" i="1"/>
  <c r="AH277" i="1"/>
  <c r="AG277" i="1"/>
  <c r="AF277" i="1"/>
  <c r="AQ274" i="1"/>
  <c r="AP274" i="1"/>
  <c r="AO274" i="1"/>
  <c r="AN274" i="1"/>
  <c r="AM274" i="1"/>
  <c r="AL274" i="1"/>
  <c r="AK274" i="1"/>
  <c r="AJ274" i="1"/>
  <c r="AI274" i="1"/>
  <c r="AH274" i="1"/>
  <c r="AG274" i="1"/>
  <c r="AF274" i="1"/>
  <c r="AQ271" i="1"/>
  <c r="AP271" i="1"/>
  <c r="AO271" i="1"/>
  <c r="AN271" i="1"/>
  <c r="AM271" i="1"/>
  <c r="AL271" i="1"/>
  <c r="AK271" i="1"/>
  <c r="AJ271" i="1"/>
  <c r="AI271" i="1"/>
  <c r="AH271" i="1"/>
  <c r="AG271" i="1"/>
  <c r="AF271" i="1"/>
  <c r="AQ268" i="1"/>
  <c r="AP268" i="1"/>
  <c r="AO268" i="1"/>
  <c r="AN268" i="1"/>
  <c r="AM268" i="1"/>
  <c r="AL268" i="1"/>
  <c r="AK268" i="1"/>
  <c r="AJ268" i="1"/>
  <c r="AI268" i="1"/>
  <c r="AH268" i="1"/>
  <c r="AG268" i="1"/>
  <c r="AF268" i="1"/>
  <c r="AQ265" i="1"/>
  <c r="AP265" i="1"/>
  <c r="AO265" i="1"/>
  <c r="AN265" i="1"/>
  <c r="AM265" i="1"/>
  <c r="AL265" i="1"/>
  <c r="AK265" i="1"/>
  <c r="AJ265" i="1"/>
  <c r="AI265" i="1"/>
  <c r="AH265" i="1"/>
  <c r="AG265" i="1"/>
  <c r="AF265" i="1"/>
  <c r="AQ262" i="1"/>
  <c r="AP262" i="1"/>
  <c r="AO262" i="1"/>
  <c r="AN262" i="1"/>
  <c r="AM262" i="1"/>
  <c r="AL262" i="1"/>
  <c r="AK262" i="1"/>
  <c r="AJ262" i="1"/>
  <c r="AI262" i="1"/>
  <c r="AH262" i="1"/>
  <c r="AG262" i="1"/>
  <c r="AF262" i="1"/>
  <c r="AQ259" i="1"/>
  <c r="AP259" i="1"/>
  <c r="AO259" i="1"/>
  <c r="AN259" i="1"/>
  <c r="AM259" i="1"/>
  <c r="AL259" i="1"/>
  <c r="AK259" i="1"/>
  <c r="AJ259" i="1"/>
  <c r="AI259" i="1"/>
  <c r="AH259" i="1"/>
  <c r="AG259" i="1"/>
  <c r="AF259" i="1"/>
  <c r="AQ256" i="1"/>
  <c r="AP256" i="1"/>
  <c r="AO256" i="1"/>
  <c r="AN256" i="1"/>
  <c r="AM256" i="1"/>
  <c r="AL256" i="1"/>
  <c r="AK256" i="1"/>
  <c r="AJ256" i="1"/>
  <c r="AI256" i="1"/>
  <c r="AH256" i="1"/>
  <c r="AG256" i="1"/>
  <c r="AF256" i="1"/>
  <c r="AE334" i="1"/>
  <c r="AE331" i="1"/>
  <c r="AE328" i="1"/>
  <c r="AE325" i="1"/>
  <c r="AE322" i="1"/>
  <c r="AE319" i="1"/>
  <c r="AE316" i="1"/>
  <c r="AE313" i="1"/>
  <c r="AE310" i="1"/>
  <c r="AE307" i="1"/>
  <c r="AE304" i="1"/>
  <c r="AE301" i="1"/>
  <c r="AE298" i="1"/>
  <c r="AE295" i="1"/>
  <c r="AE292" i="1"/>
  <c r="AE289" i="1"/>
  <c r="AE286" i="1"/>
  <c r="AE283" i="1"/>
  <c r="AE280" i="1"/>
  <c r="AE277" i="1"/>
  <c r="AE274" i="1"/>
  <c r="AE271" i="1"/>
  <c r="AE268" i="1"/>
  <c r="AE265" i="1"/>
  <c r="AE262" i="1"/>
  <c r="AE259" i="1"/>
  <c r="AE256" i="1"/>
  <c r="A194" i="3" a="1"/>
  <c r="B206" i="3"/>
  <c r="B205" i="3"/>
  <c r="B204" i="3"/>
  <c r="B203" i="3"/>
  <c r="B202" i="3"/>
  <c r="B201" i="3"/>
  <c r="B200" i="3"/>
  <c r="B199" i="3"/>
  <c r="B198" i="3"/>
  <c r="B197" i="3"/>
  <c r="B196" i="3"/>
  <c r="B195" i="3"/>
  <c r="B194" i="3"/>
  <c r="D173" i="3"/>
  <c r="D174" i="3"/>
  <c r="D175" i="3"/>
  <c r="D176" i="3"/>
  <c r="D177" i="3"/>
  <c r="D178" i="3"/>
  <c r="D179" i="3"/>
  <c r="D180" i="3"/>
  <c r="D181" i="3"/>
  <c r="D182" i="3"/>
  <c r="D183" i="3"/>
  <c r="D184" i="3"/>
  <c r="D172" i="3"/>
  <c r="AQ373" i="1"/>
  <c r="AP373" i="1"/>
  <c r="AO373" i="1"/>
  <c r="AN373" i="1"/>
  <c r="AM373" i="1"/>
  <c r="AL373" i="1"/>
  <c r="AK373" i="1"/>
  <c r="AJ373" i="1"/>
  <c r="AI373" i="1"/>
  <c r="AH373" i="1"/>
  <c r="AG373" i="1"/>
  <c r="AF373" i="1"/>
  <c r="AQ370" i="1"/>
  <c r="AP370" i="1"/>
  <c r="AO370" i="1"/>
  <c r="AN370" i="1"/>
  <c r="AM370" i="1"/>
  <c r="AL370" i="1"/>
  <c r="AK370" i="1"/>
  <c r="AJ370" i="1"/>
  <c r="AI370" i="1"/>
  <c r="AH370" i="1"/>
  <c r="AG370" i="1"/>
  <c r="AF370" i="1"/>
  <c r="AQ367" i="1"/>
  <c r="AP367" i="1"/>
  <c r="AO367" i="1"/>
  <c r="AN367" i="1"/>
  <c r="AM367" i="1"/>
  <c r="AL367" i="1"/>
  <c r="AK367" i="1"/>
  <c r="AJ367" i="1"/>
  <c r="AI367" i="1"/>
  <c r="AH367" i="1"/>
  <c r="AG367" i="1"/>
  <c r="AF367" i="1"/>
  <c r="AQ364" i="1"/>
  <c r="AP364" i="1"/>
  <c r="AO364" i="1"/>
  <c r="AN364" i="1"/>
  <c r="AM364" i="1"/>
  <c r="AL364" i="1"/>
  <c r="AK364" i="1"/>
  <c r="AJ364" i="1"/>
  <c r="AI364" i="1"/>
  <c r="AH364" i="1"/>
  <c r="AG364" i="1"/>
  <c r="AF364" i="1"/>
  <c r="AQ361" i="1"/>
  <c r="AP361" i="1"/>
  <c r="AO361" i="1"/>
  <c r="AN361" i="1"/>
  <c r="AM361" i="1"/>
  <c r="AL361" i="1"/>
  <c r="AK361" i="1"/>
  <c r="AJ361" i="1"/>
  <c r="AI361" i="1"/>
  <c r="AH361" i="1"/>
  <c r="AG361" i="1"/>
  <c r="AF361" i="1"/>
  <c r="AQ358" i="1"/>
  <c r="AP358" i="1"/>
  <c r="AO358" i="1"/>
  <c r="AN358" i="1"/>
  <c r="AM358" i="1"/>
  <c r="AL358" i="1"/>
  <c r="AK358" i="1"/>
  <c r="AJ358" i="1"/>
  <c r="AI358" i="1"/>
  <c r="AH358" i="1"/>
  <c r="AG358" i="1"/>
  <c r="AF358" i="1"/>
  <c r="AQ355" i="1"/>
  <c r="AP355" i="1"/>
  <c r="AO355" i="1"/>
  <c r="AN355" i="1"/>
  <c r="AM355" i="1"/>
  <c r="AL355" i="1"/>
  <c r="AK355" i="1"/>
  <c r="AJ355" i="1"/>
  <c r="AI355" i="1"/>
  <c r="AH355" i="1"/>
  <c r="AG355" i="1"/>
  <c r="AF355" i="1"/>
  <c r="AQ352" i="1"/>
  <c r="AP352" i="1"/>
  <c r="AO352" i="1"/>
  <c r="AN352" i="1"/>
  <c r="AM352" i="1"/>
  <c r="AL352" i="1"/>
  <c r="AK352" i="1"/>
  <c r="AJ352" i="1"/>
  <c r="AI352" i="1"/>
  <c r="AH352" i="1"/>
  <c r="AG352" i="1"/>
  <c r="AF352" i="1"/>
  <c r="AQ349" i="1"/>
  <c r="AP349" i="1"/>
  <c r="AO349" i="1"/>
  <c r="AN349" i="1"/>
  <c r="AM349" i="1"/>
  <c r="AL349" i="1"/>
  <c r="AK349" i="1"/>
  <c r="AJ349" i="1"/>
  <c r="AI349" i="1"/>
  <c r="AH349" i="1"/>
  <c r="AG349" i="1"/>
  <c r="AF349" i="1"/>
  <c r="AQ346" i="1"/>
  <c r="AP346" i="1"/>
  <c r="AO346" i="1"/>
  <c r="AN346" i="1"/>
  <c r="AM346" i="1"/>
  <c r="AL346" i="1"/>
  <c r="AK346" i="1"/>
  <c r="AJ346" i="1"/>
  <c r="AI346" i="1"/>
  <c r="AH346" i="1"/>
  <c r="AG346" i="1"/>
  <c r="AF346" i="1"/>
  <c r="AQ343" i="1"/>
  <c r="AP343" i="1"/>
  <c r="AO343" i="1"/>
  <c r="AN343" i="1"/>
  <c r="AM343" i="1"/>
  <c r="AL343" i="1"/>
  <c r="AK343" i="1"/>
  <c r="AJ343" i="1"/>
  <c r="AI343" i="1"/>
  <c r="AH343" i="1"/>
  <c r="AG343" i="1"/>
  <c r="AF343" i="1"/>
  <c r="AF340" i="1"/>
  <c r="AG340" i="1"/>
  <c r="AH340" i="1"/>
  <c r="AI340" i="1"/>
  <c r="AJ340" i="1"/>
  <c r="AK340" i="1"/>
  <c r="AL340" i="1"/>
  <c r="AM340" i="1"/>
  <c r="AN340" i="1"/>
  <c r="AO340" i="1"/>
  <c r="AP340" i="1"/>
  <c r="AQ340" i="1"/>
  <c r="AE373" i="1"/>
  <c r="AE370" i="1"/>
  <c r="AE367" i="1"/>
  <c r="AE364" i="1"/>
  <c r="AE361" i="1"/>
  <c r="AE358" i="1"/>
  <c r="AE355" i="1"/>
  <c r="AE352" i="1"/>
  <c r="AE349" i="1"/>
  <c r="AE346" i="1"/>
  <c r="AE343" i="1"/>
  <c r="AE340" i="1"/>
  <c r="AP337" i="1"/>
  <c r="AQ337" i="1"/>
  <c r="AF337" i="1"/>
  <c r="AG337" i="1"/>
  <c r="AH337" i="1"/>
  <c r="AI337" i="1"/>
  <c r="AJ337" i="1"/>
  <c r="AK337" i="1"/>
  <c r="AL337" i="1"/>
  <c r="AM337" i="1"/>
  <c r="AN337" i="1"/>
  <c r="AO337" i="1"/>
  <c r="AE337" i="1"/>
  <c r="C127" i="3"/>
  <c r="C126" i="3"/>
  <c r="C125" i="3"/>
  <c r="C124" i="3"/>
  <c r="C123" i="3"/>
  <c r="C122" i="3"/>
  <c r="C121" i="3"/>
  <c r="E13" i="3"/>
  <c r="D13" i="3"/>
  <c r="B13" i="3"/>
  <c r="V9" i="4" l="1" a="1"/>
  <c r="V8" i="4" a="1"/>
  <c r="E179" i="3"/>
  <c r="E178" i="3"/>
  <c r="E174" i="3"/>
  <c r="E175" i="3"/>
  <c r="E184" i="3"/>
  <c r="D122" i="3"/>
  <c r="E183" i="3"/>
  <c r="E181" i="3"/>
  <c r="D127" i="3"/>
  <c r="E177" i="3"/>
  <c r="E173" i="3"/>
  <c r="E182" i="3"/>
  <c r="E180" i="3"/>
  <c r="E176" i="3"/>
  <c r="D123" i="3"/>
  <c r="D124" i="3"/>
  <c r="B20" i="3" a="1"/>
  <c r="D125" i="3"/>
  <c r="D126" i="3"/>
  <c r="V7" i="4" l="1"/>
  <c r="V6" i="4"/>
  <c r="B26" i="3"/>
  <c r="C22" i="3" l="1"/>
  <c r="C24" i="3"/>
  <c r="C25" i="3"/>
  <c r="C21" i="3"/>
  <c r="C23" i="3"/>
  <c r="C20" i="3"/>
  <c r="V4" i="4" s="1"/>
  <c r="C26"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<sst xmlns="http://schemas.openxmlformats.org/spreadsheetml/2006/main" count="2087" uniqueCount="164">
  <si>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</si>
  <si>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</si>
  <si>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</si>
  <si>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</si>
  <si>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</si>
  <si>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</si>
  <si>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</si>
  <si>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</si>
  <si>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</si>
  <si>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</si>
  <si>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</si>
  <si>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</si>
  <si>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</si>
  <si>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</si>
  <si>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</si>
  <si>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</si>
  <si>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</si>
  <si>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</si>
  <si>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</si>
  <si>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</si>
  <si>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</si>
  <si>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</si>
  <si>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</si>
  <si>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</si>
  <si>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</si>
  <si>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</si>
  <si>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</si>
  <si>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</si>
  <si>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</si>
  <si>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</si>
  <si>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</si>
  <si>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</si>
  <si>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</si>
  <si>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</si>
  <si>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</si>
  <si>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</si>
  <si>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</si>
  <si>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</si>
  <si>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</si>
  <si>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</si>
  <si>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</si>
  <si>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</si>
  <si>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</si>
  <si>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</si>
  <si>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</si>
  <si>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</si>
  <si>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</si>
  <si>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</si>
  <si>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</si>
  <si>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Rural &amp; Urban</t>
  </si>
  <si>
    <t>Broader CPI Categories</t>
  </si>
  <si>
    <t>Clothing &amp; Footwear</t>
  </si>
  <si>
    <t>Values</t>
  </si>
  <si>
    <t>% of CPI Contribution</t>
  </si>
  <si>
    <t>Total</t>
  </si>
  <si>
    <t>Highest</t>
  </si>
  <si>
    <t>General Index</t>
  </si>
  <si>
    <t>YoY Growth</t>
  </si>
  <si>
    <t>Lowest</t>
  </si>
  <si>
    <t>Monthly inflation rate</t>
  </si>
  <si>
    <t>Absolute change</t>
  </si>
  <si>
    <t>Food categories</t>
  </si>
  <si>
    <t>Food</t>
  </si>
  <si>
    <t>Years</t>
  </si>
  <si>
    <t>Mar'19</t>
  </si>
  <si>
    <t>Mar'20</t>
  </si>
  <si>
    <t>Mar'21</t>
  </si>
  <si>
    <t>Mar'22</t>
  </si>
  <si>
    <t>Months</t>
  </si>
  <si>
    <t>Column1</t>
  </si>
  <si>
    <t>Column2</t>
  </si>
  <si>
    <t>Column3</t>
  </si>
  <si>
    <t>Column4</t>
  </si>
  <si>
    <t>Column5</t>
  </si>
  <si>
    <t>Column6</t>
  </si>
  <si>
    <t>Column7</t>
  </si>
  <si>
    <t>Categories</t>
  </si>
  <si>
    <t>2021</t>
  </si>
  <si>
    <t>Column8</t>
  </si>
  <si>
    <t>Column9</t>
  </si>
  <si>
    <t>Column10</t>
  </si>
  <si>
    <t>Column11</t>
  </si>
  <si>
    <t>2022</t>
  </si>
  <si>
    <t>Column12</t>
  </si>
  <si>
    <t>Column13</t>
  </si>
  <si>
    <t>Column14</t>
  </si>
  <si>
    <t>Column15</t>
  </si>
  <si>
    <t>Column16</t>
  </si>
  <si>
    <t>Column17</t>
  </si>
  <si>
    <t>Column18</t>
  </si>
  <si>
    <t>Column19</t>
  </si>
  <si>
    <t>Column20</t>
  </si>
  <si>
    <t>Column21</t>
  </si>
  <si>
    <t>Column22</t>
  </si>
  <si>
    <t>Contribution</t>
  </si>
  <si>
    <t xml:space="preserve">Food </t>
  </si>
  <si>
    <t>Impact  of Covid on essential categories</t>
  </si>
  <si>
    <t>=</t>
  </si>
  <si>
    <t>Covid Year</t>
  </si>
  <si>
    <t>Before &amp; After Covid</t>
  </si>
  <si>
    <t>MoM Change</t>
  </si>
  <si>
    <t>Prices</t>
  </si>
  <si>
    <t>Imported Oil Fluctuations</t>
  </si>
  <si>
    <t>Monthly fluctuations in imported oil year wise</t>
  </si>
  <si>
    <t>Trends in oil price change with change in inflation rates of all categories</t>
  </si>
  <si>
    <t>MoM % growth</t>
  </si>
  <si>
    <t>Impact of Covid on Yearly Inflation Rate</t>
  </si>
  <si>
    <t>Correlation of Oil price and categories</t>
  </si>
  <si>
    <t>India CPI Inflation:Case Study Problem</t>
  </si>
  <si>
    <t>Trend of Y-O-Y increase in CPI(Rural+Urban) from 2017</t>
  </si>
  <si>
    <t>Trends in prices of broader food bucket category</t>
  </si>
  <si>
    <t>M-o-M Changes</t>
  </si>
  <si>
    <t>Finding biggest individual category contributor</t>
  </si>
  <si>
    <t>Influence of imported crude oil on India's inflation</t>
  </si>
  <si>
    <t>Data regarding changes in price of CPI categories</t>
  </si>
  <si>
    <t>Insight</t>
  </si>
  <si>
    <t>Recommended action</t>
  </si>
  <si>
    <t>Deeper analysis</t>
  </si>
  <si>
    <r>
      <rPr>
        <sz val="11"/>
        <color theme="1"/>
        <rFont val="Calibri"/>
        <family val="2"/>
        <scheme val="minor"/>
      </rPr>
      <t xml:space="preserve">Since </t>
    </r>
    <r>
      <rPr>
        <b/>
        <sz val="11"/>
        <color theme="1"/>
        <rFont val="Calibri"/>
        <family val="2"/>
        <scheme val="minor"/>
      </rPr>
      <t>Spices recorded the largest absolute change in food inflation</t>
    </r>
    <r>
      <rPr>
        <sz val="11"/>
        <color theme="1"/>
        <rFont val="Calibri"/>
        <family val="2"/>
        <scheme val="minor"/>
      </rPr>
      <t xml:space="preserve">, </t>
    </r>
  </si>
  <si>
    <t>Insights:</t>
  </si>
  <si>
    <t>Health Basket Escalation</t>
  </si>
  <si>
    <t>Action plan</t>
  </si>
  <si>
    <t>Fuel &amp; Light Volatility</t>
  </si>
  <si>
    <t>Personal Care &amp; Effects Volatility</t>
  </si>
  <si>
    <t>Action Plan</t>
  </si>
  <si>
    <t>MODEL VALIDATION &amp; SANITY CHECKS</t>
  </si>
  <si>
    <t>Check ID</t>
  </si>
  <si>
    <t>Verification Rule</t>
  </si>
  <si>
    <t>Metric / Target</t>
  </si>
  <si>
    <t>Pass</t>
  </si>
  <si>
    <t>CHK-01</t>
  </si>
  <si>
    <t>Category Basket Distribution</t>
  </si>
  <si>
    <t>CHK-02</t>
  </si>
  <si>
    <t>CHK-03</t>
  </si>
  <si>
    <t>CHK-04</t>
  </si>
  <si>
    <t>CHK-05</t>
  </si>
  <si>
    <t>CHK-06</t>
  </si>
  <si>
    <t>Year Continuity</t>
  </si>
  <si>
    <t>Annual Macro Bounds</t>
  </si>
  <si>
    <t>Peak Year Anchor</t>
  </si>
  <si>
    <t>Food Max Shift (Spices)</t>
  </si>
  <si>
    <t>Food Max Drop (Oils)</t>
  </si>
  <si>
    <t>Status</t>
  </si>
  <si>
    <t>Mar'22 Health inflation</t>
  </si>
  <si>
    <t>Mar'22 Fuel &amp; light inflation</t>
  </si>
  <si>
    <t>Mar'22 Personal care and effects inflation</t>
  </si>
  <si>
    <t>CHK-07</t>
  </si>
  <si>
    <t>CHK-08</t>
  </si>
  <si>
    <t>CHK-09</t>
  </si>
  <si>
    <t>CHK-10</t>
  </si>
  <si>
    <t>Correlation of crude oil inflation and sugar and confectionary</t>
  </si>
  <si>
    <t>Correl value</t>
  </si>
  <si>
    <r>
      <t xml:space="preserve">Prioritize </t>
    </r>
    <r>
      <rPr>
        <b/>
        <sz val="11"/>
        <color theme="1"/>
        <rFont val="Calibri"/>
        <family val="2"/>
        <scheme val="minor"/>
      </rPr>
      <t>supply and  inventory monitoring</t>
    </r>
    <r>
      <rPr>
        <sz val="11"/>
        <color theme="1"/>
        <rFont val="Calibri"/>
        <family val="2"/>
        <scheme val="minor"/>
      </rPr>
      <t xml:space="preserve"> for this category. </t>
    </r>
  </si>
  <si>
    <r>
      <rPr>
        <b/>
        <sz val="11"/>
        <color theme="1"/>
        <rFont val="Calibri"/>
        <family val="2"/>
        <scheme val="minor"/>
      </rPr>
      <t>Diversifying</t>
    </r>
    <r>
      <rPr>
        <sz val="11"/>
        <color theme="1"/>
        <rFont val="Calibri"/>
        <family val="2"/>
        <scheme val="minor"/>
      </rPr>
      <t xml:space="preserve"> sourcing, maintaining adequate</t>
    </r>
    <r>
      <rPr>
        <b/>
        <sz val="11"/>
        <color theme="1"/>
        <rFont val="Calibri"/>
        <family val="2"/>
        <scheme val="minor"/>
      </rPr>
      <t xml:space="preserve"> seasonal inventory, and monitoring </t>
    </r>
    <r>
      <rPr>
        <sz val="11"/>
        <color theme="1"/>
        <rFont val="Calibri"/>
        <family val="2"/>
        <scheme val="minor"/>
      </rPr>
      <t>crop,</t>
    </r>
  </si>
  <si>
    <r>
      <t xml:space="preserve">weather, and logistics risks can help reduce </t>
    </r>
    <r>
      <rPr>
        <b/>
        <sz val="11"/>
        <color theme="1"/>
        <rFont val="Calibri"/>
        <family val="2"/>
        <scheme val="minor"/>
      </rPr>
      <t xml:space="preserve">supply-driven price volatility and limit </t>
    </r>
    <r>
      <rPr>
        <sz val="11"/>
        <color theme="1"/>
        <rFont val="Calibri"/>
        <family val="2"/>
        <scheme val="minor"/>
      </rPr>
      <t>its contribution to overall food inflation.</t>
    </r>
  </si>
  <si>
    <r>
      <rPr>
        <b/>
        <sz val="11"/>
        <color theme="1"/>
        <rFont val="Calibri"/>
        <family val="2"/>
        <scheme val="minor"/>
      </rPr>
      <t>Biggest</t>
    </r>
    <r>
      <rPr>
        <sz val="11"/>
        <color theme="1"/>
        <rFont val="Calibri"/>
        <family val="2"/>
        <scheme val="minor"/>
      </rPr>
      <t xml:space="preserve"> food category with highest absolutes changes in inflation - </t>
    </r>
    <r>
      <rPr>
        <b/>
        <sz val="11"/>
        <color theme="1"/>
        <rFont val="Calibri"/>
        <family val="2"/>
        <scheme val="minor"/>
      </rPr>
      <t>Spices</t>
    </r>
  </si>
  <si>
    <r>
      <rPr>
        <b/>
        <sz val="11"/>
        <color theme="1"/>
        <rFont val="Calibri"/>
        <family val="2"/>
        <scheme val="minor"/>
      </rPr>
      <t>Food</t>
    </r>
    <r>
      <rPr>
        <sz val="11"/>
        <color theme="1"/>
        <rFont val="Calibri"/>
        <family val="2"/>
        <scheme val="minor"/>
      </rPr>
      <t xml:space="preserve"> is the largest contributor to CPI inflation, indicating that movements in food prices are an important source of </t>
    </r>
    <r>
      <rPr>
        <b/>
        <sz val="11"/>
        <color theme="1"/>
        <rFont val="Calibri"/>
        <family val="2"/>
        <scheme val="minor"/>
      </rPr>
      <t>overall inflation pressure</t>
    </r>
  </si>
  <si>
    <r>
      <t xml:space="preserve">Healthcare inflation showed a delayed structural ratchet effect driven by </t>
    </r>
    <r>
      <rPr>
        <b/>
        <sz val="11"/>
        <color theme="1"/>
        <rFont val="Calibri"/>
        <family val="2"/>
        <scheme val="minor"/>
      </rPr>
      <t>cumulative hospital overheads and API import</t>
    </r>
    <r>
      <rPr>
        <sz val="11"/>
        <color theme="1"/>
        <rFont val="Calibri"/>
        <family val="2"/>
        <scheme val="minor"/>
      </rPr>
      <t xml:space="preserve"> costs.</t>
    </r>
  </si>
  <si>
    <r>
      <t xml:space="preserve">Cap essential diagnostic/drug prices </t>
    </r>
    <r>
      <rPr>
        <b/>
        <sz val="11"/>
        <color theme="1"/>
        <rFont val="Calibri"/>
        <family val="2"/>
        <scheme val="minor"/>
      </rPr>
      <t xml:space="preserve">short-term and expand domestic API </t>
    </r>
    <r>
      <rPr>
        <sz val="11"/>
        <color theme="1"/>
        <rFont val="Calibri"/>
        <family val="2"/>
        <scheme val="minor"/>
      </rPr>
      <t>manufacturing incentives long-term.</t>
    </r>
  </si>
  <si>
    <r>
      <t>Fuel inflation exhibited high sensitivity to global crude cycles—</t>
    </r>
    <r>
      <rPr>
        <b/>
        <sz val="11"/>
        <color theme="1"/>
        <rFont val="Calibri"/>
        <family val="2"/>
        <scheme val="minor"/>
      </rPr>
      <t>cooling during lockdowns before rebounding</t>
    </r>
    <r>
      <rPr>
        <sz val="11"/>
        <color theme="1"/>
        <rFont val="Calibri"/>
        <family val="2"/>
        <scheme val="minor"/>
      </rPr>
      <t xml:space="preserve"> sharply as global markets reopened.</t>
    </r>
  </si>
  <si>
    <r>
      <t>Apply dynamic excise duty adjustments</t>
    </r>
    <r>
      <rPr>
        <b/>
        <sz val="11"/>
        <color theme="1"/>
        <rFont val="Calibri"/>
        <family val="2"/>
        <scheme val="minor"/>
      </rPr>
      <t xml:space="preserve"> short-term and scale targeted LPG/clean energy</t>
    </r>
    <r>
      <rPr>
        <sz val="11"/>
        <color theme="1"/>
        <rFont val="Calibri"/>
        <family val="2"/>
        <scheme val="minor"/>
      </rPr>
      <t xml:space="preserve"> subsidies long-term.</t>
    </r>
  </si>
  <si>
    <r>
      <t xml:space="preserve">Category inflation followed a U-shaped recovery driven by </t>
    </r>
    <r>
      <rPr>
        <b/>
        <sz val="11"/>
        <color theme="1"/>
        <rFont val="Calibri"/>
        <family val="2"/>
        <scheme val="minor"/>
      </rPr>
      <t xml:space="preserve">initial supply panic, mid-pandemic demand cooling, and subsequent FMCG </t>
    </r>
    <r>
      <rPr>
        <sz val="11"/>
        <color theme="1"/>
        <rFont val="Calibri"/>
        <family val="2"/>
        <scheme val="minor"/>
      </rPr>
      <t>input cost pass-throughs.</t>
    </r>
  </si>
  <si>
    <r>
      <t xml:space="preserve">Rationalize import duties on key packaging/FMCG raw </t>
    </r>
    <r>
      <rPr>
        <b/>
        <sz val="11"/>
        <color theme="1"/>
        <rFont val="Calibri"/>
        <family val="2"/>
        <scheme val="minor"/>
      </rPr>
      <t>inputs short-term and localize supply chains</t>
    </r>
    <r>
      <rPr>
        <sz val="11"/>
        <color theme="1"/>
        <rFont val="Calibri"/>
        <family val="2"/>
        <scheme val="minor"/>
      </rPr>
      <t xml:space="preserve"> long-term.</t>
    </r>
  </si>
  <si>
    <t>(Moderate-Negative)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</si>
</sst>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sz val="13"/>
      <color theme="1"/>
      <name val="Calibri"/>
      <family val="2"/>
      <scheme val="minor"/>
    </font>
    <font>
      <b/>
      <sz val="13"/>
      <color theme="1"/>
      <name val="Calibri"/>
      <family val="2"/>
      <scheme val="minor"/>
    </font>
    <font>
      <sz val="8"/>
      <name val="Calibri"/>
      <family val="2"/>
      <scheme val="minor"/>
    </font>
    <font>
      <b/>
      <sz val="14"/>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7"/>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00"/>
        <bgColor indexed="64"/>
      </patternFill>
    </fill>
    <fill>
      <patternFill patternType="solid">
        <fgColor theme="4"/>
        <bgColor theme="4"/>
      </patternFill>
    </fill>
    <fill>
      <patternFill patternType="solid">
        <fgColor rgb="FFFF33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99FF99"/>
        <bgColor indexed="64"/>
      </patternFill>
    </fill>
    <fill>
      <patternFill patternType="solid">
        <fgColor rgb="FF00B0F0"/>
        <bgColor indexed="64"/>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69">
    <xf numFmtId="0" fontId="0" fillId="0" borderId="0" xfId="0"/>
    <xf numFmtId="2" fontId="0" fillId="0" borderId="0" xfId="0" applyNumberFormat="1"/>
    <xf numFmtId="0" fontId="0" fillId="34" borderId="0" xfId="0" applyFill="1"/>
    <xf numFmtId="0" fontId="16" fillId="34" borderId="0" xfId="0" applyFont="1" applyFill="1"/>
    <xf numFmtId="0" fontId="16" fillId="35" borderId="0" xfId="0" applyFont="1" applyFill="1"/>
    <xf numFmtId="0" fontId="16" fillId="36" borderId="10" xfId="0" applyFont="1" applyFill="1" applyBorder="1"/>
    <xf numFmtId="0" fontId="16" fillId="33" borderId="0" xfId="0" applyFont="1" applyFill="1"/>
    <xf numFmtId="0" fontId="16" fillId="36" borderId="0" xfId="0" applyFont="1" applyFill="1"/>
    <xf numFmtId="0" fontId="16" fillId="37" borderId="0" xfId="0" applyFont="1" applyFill="1"/>
    <xf numFmtId="0" fontId="16" fillId="36" borderId="11" xfId="0" applyFont="1" applyFill="1" applyBorder="1"/>
    <xf numFmtId="0" fontId="16" fillId="36" borderId="12" xfId="0" applyFont="1" applyFill="1" applyBorder="1"/>
    <xf numFmtId="0" fontId="16" fillId="36" borderId="13" xfId="0" applyFont="1" applyFill="1" applyBorder="1"/>
    <xf numFmtId="0" fontId="0" fillId="0" borderId="14" xfId="0" applyBorder="1"/>
    <xf numFmtId="2" fontId="0" fillId="0" borderId="15" xfId="0" applyNumberFormat="1" applyBorder="1"/>
    <xf numFmtId="164" fontId="0" fillId="0" borderId="0" xfId="0" applyNumberFormat="1"/>
    <xf numFmtId="0" fontId="0" fillId="0" borderId="16" xfId="0" applyBorder="1"/>
    <xf numFmtId="2" fontId="0" fillId="0" borderId="17" xfId="0" applyNumberFormat="1" applyBorder="1"/>
    <xf numFmtId="2" fontId="0" fillId="0" borderId="18" xfId="0" applyNumberFormat="1" applyBorder="1"/>
    <xf numFmtId="0" fontId="16" fillId="36" borderId="21" xfId="0" applyFont="1" applyFill="1" applyBorder="1"/>
    <xf numFmtId="0" fontId="16" fillId="36" borderId="22" xfId="0" applyFont="1" applyFill="1" applyBorder="1"/>
    <xf numFmtId="2" fontId="0" fillId="0" borderId="16" xfId="0" applyNumberFormat="1" applyBorder="1"/>
    <xf numFmtId="0" fontId="0" fillId="0" borderId="18" xfId="0" applyBorder="1"/>
    <xf numFmtId="0" fontId="0" fillId="0" borderId="17" xfId="0" applyBorder="1"/>
    <xf numFmtId="0" fontId="0" fillId="0" borderId="15" xfId="0" applyBorder="1"/>
    <xf numFmtId="0" fontId="0" fillId="34" borderId="14" xfId="0" applyFill="1" applyBorder="1"/>
    <xf numFmtId="2" fontId="0" fillId="34" borderId="0" xfId="0" applyNumberFormat="1" applyFill="1"/>
    <xf numFmtId="2" fontId="0" fillId="34" borderId="15" xfId="0" applyNumberFormat="1" applyFill="1" applyBorder="1"/>
    <xf numFmtId="0" fontId="0" fillId="35" borderId="0" xfId="0" applyFill="1"/>
    <xf numFmtId="2" fontId="0" fillId="35" borderId="0" xfId="0" applyNumberFormat="1" applyFill="1"/>
    <xf numFmtId="0" fontId="16" fillId="0" borderId="0" xfId="0" applyFont="1"/>
    <xf numFmtId="0" fontId="16" fillId="38" borderId="0" xfId="0" applyFont="1" applyFill="1"/>
    <xf numFmtId="0" fontId="16" fillId="34" borderId="0" xfId="0" applyFont="1" applyFill="1" applyAlignment="1">
      <alignment horizontal="center"/>
    </xf>
    <xf numFmtId="0" fontId="16" fillId="37" borderId="23" xfId="0" applyFont="1" applyFill="1" applyBorder="1" applyAlignment="1">
      <alignment horizontal="center"/>
    </xf>
    <xf numFmtId="0" fontId="16" fillId="37" borderId="19" xfId="0" applyFont="1" applyFill="1" applyBorder="1" applyAlignment="1">
      <alignment horizontal="center"/>
    </xf>
    <xf numFmtId="0" fontId="16" fillId="37" borderId="20" xfId="0" applyFont="1" applyFill="1" applyBorder="1" applyAlignment="1">
      <alignment horizontal="center"/>
    </xf>
    <xf numFmtId="0" fontId="16" fillId="36" borderId="0" xfId="0" applyFont="1" applyFill="1" applyAlignment="1">
      <alignment horizontal="center"/>
    </xf>
    <xf numFmtId="0" fontId="16" fillId="36" borderId="23" xfId="0" applyFont="1" applyFill="1" applyBorder="1" applyAlignment="1">
      <alignment horizontal="center"/>
    </xf>
    <xf numFmtId="0" fontId="16" fillId="36" borderId="19" xfId="0" applyFont="1" applyFill="1" applyBorder="1" applyAlignment="1">
      <alignment horizontal="center"/>
    </xf>
    <xf numFmtId="0" fontId="16" fillId="36" borderId="20" xfId="0" applyFont="1" applyFill="1" applyBorder="1" applyAlignment="1">
      <alignment horizontal="center"/>
    </xf>
    <xf numFmtId="2" fontId="16" fillId="37" borderId="0" xfId="0" applyNumberFormat="1" applyFont="1" applyFill="1" applyAlignment="1">
      <alignment horizontal="center"/>
    </xf>
    <xf numFmtId="0" fontId="16" fillId="36" borderId="14" xfId="0" applyFont="1" applyFill="1" applyBorder="1" applyAlignment="1">
      <alignment horizontal="center"/>
    </xf>
    <xf numFmtId="0" fontId="16" fillId="36" borderId="15" xfId="0" applyFont="1" applyFill="1" applyBorder="1" applyAlignment="1">
      <alignment horizontal="center"/>
    </xf>
    <xf numFmtId="0" fontId="0" fillId="40" borderId="14" xfId="0" applyFill="1" applyBorder="1"/>
    <xf numFmtId="2" fontId="0" fillId="40" borderId="0" xfId="0" applyNumberFormat="1" applyFill="1"/>
    <xf numFmtId="2" fontId="0" fillId="40" borderId="15" xfId="0" applyNumberFormat="1" applyFill="1" applyBorder="1"/>
    <xf numFmtId="0" fontId="0" fillId="40" borderId="0" xfId="0" applyFill="1"/>
    <xf numFmtId="0" fontId="0" fillId="0" borderId="14" xfId="0" applyFill="1" applyBorder="1"/>
    <xf numFmtId="164" fontId="0" fillId="0" borderId="0" xfId="0" applyNumberFormat="1" applyFill="1"/>
    <xf numFmtId="2" fontId="0" fillId="0" borderId="15" xfId="0" applyNumberFormat="1" applyFill="1" applyBorder="1"/>
    <xf numFmtId="0" fontId="16" fillId="0" borderId="0" xfId="0" applyFont="1" applyFill="1"/>
    <xf numFmtId="2" fontId="0" fillId="0" borderId="0" xfId="0" applyNumberFormat="1" applyBorder="1"/>
    <xf numFmtId="0" fontId="0" fillId="0" borderId="0" xfId="0" applyBorder="1"/>
    <xf numFmtId="0" fontId="0" fillId="41" borderId="0" xfId="0" applyFill="1"/>
    <xf numFmtId="0" fontId="16" fillId="42" borderId="0" xfId="0" applyFont="1" applyFill="1"/>
    <xf numFmtId="0" fontId="16" fillId="43" borderId="0" xfId="0" applyFont="1" applyFill="1"/>
    <xf numFmtId="0" fontId="19" fillId="0" borderId="24" xfId="0" applyFont="1" applyBorder="1"/>
    <xf numFmtId="0" fontId="19" fillId="0" borderId="24" xfId="0" applyFont="1" applyFill="1" applyBorder="1"/>
    <xf numFmtId="0" fontId="20" fillId="0" borderId="25" xfId="0" applyFont="1" applyBorder="1"/>
    <xf numFmtId="0" fontId="16" fillId="0" borderId="25" xfId="0" applyFont="1" applyBorder="1"/>
    <xf numFmtId="0" fontId="20" fillId="44" borderId="0" xfId="0" applyFont="1" applyFill="1" applyBorder="1" applyAlignment="1">
      <alignment vertical="center"/>
    </xf>
    <xf numFmtId="0" fontId="0" fillId="44" borderId="0" xfId="0" applyFill="1" applyBorder="1" applyAlignment="1">
      <alignment vertical="center"/>
    </xf>
    <xf numFmtId="0" fontId="20" fillId="0" borderId="0" xfId="0" applyFont="1"/>
    <xf numFmtId="0" fontId="22" fillId="38" borderId="0" xfId="0" applyFont="1" applyFill="1" applyAlignment="1"/>
    <xf numFmtId="2" fontId="16" fillId="45" borderId="0" xfId="0" applyNumberFormat="1" applyFont="1" applyFill="1" applyAlignment="1">
      <alignment horizontal="center"/>
    </xf>
    <xf numFmtId="0" fontId="13" fillId="39" borderId="0" xfId="0" applyFont="1" applyFill="1" applyBorder="1"/>
    <xf numFmtId="2" fontId="0" fillId="36" borderId="26" xfId="0" applyNumberFormat="1" applyFont="1" applyFill="1" applyBorder="1"/>
    <xf numFmtId="2" fontId="0" fillId="0" borderId="26" xfId="0" applyNumberFormat="1" applyFont="1" applyBorder="1"/>
    <xf numFmtId="0" fontId="0" fillId="36" borderId="26" xfId="0" applyFont="1" applyFill="1" applyBorder="1"/>
    <xf numFmtId="0" fontId="0" fillId="0" borderId="26"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3 5" xfId="42" xr:uid="{97F564BC-BFE8-4B46-A7F6-910723C6C45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2">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border outline="0">
        <bottom style="thin">
          <color theme="4" tint="0.39997558519241921"/>
        </bottom>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border outline="0">
        <bottom style="thin">
          <color theme="4" tint="0.39997558519241921"/>
        </bottom>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border outline="0">
        <bottom style="thin">
          <color theme="4" tint="0.39997558519241921"/>
        </bottom>
      </border>
    </dxf>
    <dxf>
      <border outline="0">
        <left style="thin">
          <color indexed="64"/>
        </left>
        <right style="thin">
          <color indexed="64"/>
        </right>
        <top style="thin">
          <color theme="4" tint="0.39997558519241921"/>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outline="0">
        <bottom style="thin">
          <color theme="4" tint="0.39997558519241921"/>
        </bottom>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border outline="0">
        <bottom style="thin">
          <color theme="4" tint="0.39997558519241921"/>
        </bottom>
      </border>
    </dxf>
    <dxf>
      <border outline="0">
        <left style="thin">
          <color indexed="64"/>
        </left>
        <right style="thin">
          <color indexed="64"/>
        </right>
        <bottom style="thin">
          <color indexed="64"/>
        </bottom>
      </border>
    </dxf>
    <dxf>
      <numFmt numFmtId="2" formatCode="0.00"/>
    </dxf>
    <dxf>
      <numFmt numFmtId="2" formatCode="0.00"/>
    </dxf>
    <dxf>
      <border outline="0">
        <left style="thin">
          <color indexed="64"/>
        </left>
        <right style="thin">
          <color indexed="64"/>
        </right>
        <top style="thin">
          <color indexed="64"/>
        </top>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border diagonalUp="0" diagonalDown="0">
        <left/>
        <right style="thin">
          <color indexed="64"/>
        </right>
        <top/>
        <bottom/>
        <vertical/>
        <horizontal/>
      </border>
    </dxf>
    <dxf>
      <numFmt numFmtId="2" formatCode="0.00"/>
    </dxf>
    <dxf>
      <border outline="0">
        <left style="thin">
          <color indexed="64"/>
        </left>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99FF99"/>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r>
              <a:rPr lang="en-IN" sz="1650" baseline="0">
                <a:solidFill>
                  <a:schemeClr val="tx1"/>
                </a:solidFill>
              </a:rPr>
              <a:t>% of CPI </a:t>
            </a:r>
            <a:r>
              <a:rPr lang="en-IN" sz="1700" baseline="0">
                <a:solidFill>
                  <a:schemeClr val="tx1"/>
                </a:solidFill>
              </a:rPr>
              <a:t>Contribution</a:t>
            </a:r>
          </a:p>
        </c:rich>
      </c:tx>
      <c:overlay val="0"/>
      <c:spPr>
        <a:solidFill>
          <a:schemeClr val="accent6"/>
        </a:solidFill>
        <a:ln>
          <a:noFill/>
        </a:ln>
        <a:effectLst/>
      </c:spPr>
      <c:txPr>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29-4E69-95F7-867B0DB3C0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3E5-4154-ADAD-09771BEC16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3E5-4154-ADAD-09771BEC16A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E5-4154-ADAD-09771BEC16A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3"/>
              <c:layout>
                <c:manualLayout>
                  <c:x val="-3.3649595993013828E-2"/>
                  <c:y val="1.05275025090978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3E5-4154-ADAD-09771BEC16AC}"/>
                </c:ext>
              </c:extLst>
            </c:dLbl>
            <c:dLbl>
              <c:idx val="4"/>
              <c:layout>
                <c:manualLayout>
                  <c:x val="-8.1771814305373766E-2"/>
                  <c:y val="-8.91730715344256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E5-4154-ADAD-09771BEC16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'CPI Case Study'!$A$20:$A$25</c:f>
              <c:strCache>
                <c:ptCount val="6"/>
                <c:pt idx="0">
                  <c:v>Food </c:v>
                </c:pt>
                <c:pt idx="1">
                  <c:v>Pan, tobacco and intoxicants</c:v>
                </c:pt>
                <c:pt idx="2">
                  <c:v>Clothing &amp; Footwear</c:v>
                </c:pt>
                <c:pt idx="3">
                  <c:v>Housing</c:v>
                </c:pt>
                <c:pt idx="4">
                  <c:v>Fuel and light</c:v>
                </c:pt>
                <c:pt idx="5">
                  <c:v>Miscellaneous</c:v>
                </c:pt>
              </c:strCache>
            </c:strRef>
          </c:cat>
          <c:val>
            <c:numRef>
              <c:f>'CPI Case Study'!$C$20:$C$25</c:f>
              <c:numCache>
                <c:formatCode>0.00</c:formatCode>
                <c:ptCount val="6"/>
                <c:pt idx="0">
                  <c:v>49.626692054947497</c:v>
                </c:pt>
                <c:pt idx="1">
                  <c:v>4.3315174985862264</c:v>
                </c:pt>
                <c:pt idx="2">
                  <c:v>11.824162294107964</c:v>
                </c:pt>
                <c:pt idx="3">
                  <c:v>3.7710187047681769</c:v>
                </c:pt>
                <c:pt idx="4">
                  <c:v>3.9277865666406586</c:v>
                </c:pt>
                <c:pt idx="5">
                  <c:v>26.518822880949482</c:v>
                </c:pt>
              </c:numCache>
            </c:numRef>
          </c:val>
          <c:extLst>
            <c:ext xmlns:c16="http://schemas.microsoft.com/office/drawing/2014/chart" uri="{C3380CC4-5D6E-409C-BE32-E72D297353CC}">
              <c16:uniqueId val="{00000000-E529-4E69-95F7-867B0DB3C0A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r>
              <a:rPr lang="en-IN" sz="1900" baseline="0">
                <a:solidFill>
                  <a:schemeClr val="tx1"/>
                </a:solidFill>
              </a:rPr>
              <a:t>India CPI Inflation Trend(2017-2023) </a:t>
            </a:r>
          </a:p>
          <a:p>
            <a:pPr>
              <a:defRPr sz="1750"/>
            </a:pPr>
            <a:endParaRPr lang="en-IN" sz="1750" baseline="0">
              <a:solidFill>
                <a:schemeClr val="tx1"/>
              </a:solidFill>
            </a:endParaRPr>
          </a:p>
          <a:p>
            <a:pPr>
              <a:defRPr sz="1750"/>
            </a:pPr>
            <a:r>
              <a:rPr lang="en-IN" sz="1750" b="1" i="0" u="none" strike="noStrike" baseline="0">
                <a:solidFill>
                  <a:schemeClr val="tx1"/>
                </a:solidFill>
              </a:rPr>
              <a:t>2022 saw the sharpest YoY CPI rise, driven by food, fuel, and clothing prices, amplified by the Russia–Ukraine war and domestic heatwave.</a:t>
            </a:r>
            <a:endParaRPr lang="en-IN" sz="1750" baseline="0">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44861266307126E-2"/>
          <c:y val="0.3547355410059852"/>
          <c:w val="0.92991027746738575"/>
          <c:h val="0.57629777483344957"/>
        </c:manualLayout>
      </c:layout>
      <c:scatterChart>
        <c:scatterStyle val="line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5"/>
              <c:spPr>
                <a:solidFill>
                  <a:schemeClr val="accent4"/>
                </a:solidFill>
                <a:ln>
                  <a:noFill/>
                </a:ln>
                <a:effectLst/>
              </c:spPr>
              <c:txPr>
                <a:bodyPr rot="0" spcFirstLastPara="1" vertOverflow="ellipsis" vert="horz" wrap="square" lIns="38100" tIns="19050" rIns="38100" bIns="19050" anchor="ctr" anchorCtr="1">
                  <a:no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8.3194444444444432E-2"/>
                      <c:h val="0.10641221930592007"/>
                    </c:manualLayout>
                  </c15:layout>
                </c:ext>
                <c:ext xmlns:c16="http://schemas.microsoft.com/office/drawing/2014/chart" uri="{C3380CC4-5D6E-409C-BE32-E72D297353CC}">
                  <c16:uniqueId val="{00000002-D2E0-417C-AA25-D2F1942C9ABB}"/>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'CPI Case Study'!$B$121:$B$127</c:f>
              <c:numCache>
                <c:formatCode>General</c:formatCode>
                <c:ptCount val="7"/>
                <c:pt idx="0">
                  <c:v>2017</c:v>
                </c:pt>
                <c:pt idx="1">
                  <c:v>2018</c:v>
                </c:pt>
                <c:pt idx="2">
                  <c:v>2019</c:v>
                </c:pt>
                <c:pt idx="3">
                  <c:v>2020</c:v>
                </c:pt>
                <c:pt idx="4">
                  <c:v>2021</c:v>
                </c:pt>
                <c:pt idx="5">
                  <c:v>2022</c:v>
                </c:pt>
                <c:pt idx="6">
                  <c:v>2023</c:v>
                </c:pt>
              </c:numCache>
            </c:numRef>
          </c:xVal>
          <c:yVal>
            <c:numRef>
              <c:f>'CPI Case Study'!$D$121:$D$127</c:f>
              <c:numCache>
                <c:formatCode>0.00</c:formatCode>
                <c:ptCount val="7"/>
                <c:pt idx="1">
                  <c:v>3.9609321310314876</c:v>
                </c:pt>
                <c:pt idx="2">
                  <c:v>3.9358550145593605</c:v>
                </c:pt>
                <c:pt idx="3">
                  <c:v>6.3851393969975936</c:v>
                </c:pt>
                <c:pt idx="4">
                  <c:v>5.2740276962542714</c:v>
                </c:pt>
                <c:pt idx="5">
                  <c:v>6.6029943211151076</c:v>
                </c:pt>
                <c:pt idx="6">
                  <c:v>3.1953121216523988</c:v>
                </c:pt>
              </c:numCache>
            </c:numRef>
          </c:yVal>
          <c:smooth val="0"/>
          <c:extLst>
            <c:ext xmlns:c16="http://schemas.microsoft.com/office/drawing/2014/chart" uri="{C3380CC4-5D6E-409C-BE32-E72D297353CC}">
              <c16:uniqueId val="{00000000-D2E0-417C-AA25-D2F1942C9ABB}"/>
            </c:ext>
          </c:extLst>
        </c:ser>
        <c:dLbls>
          <c:dLblPos val="t"/>
          <c:showLegendKey val="0"/>
          <c:showVal val="1"/>
          <c:showCatName val="0"/>
          <c:showSerName val="0"/>
          <c:showPercent val="0"/>
          <c:showBubbleSize val="0"/>
        </c:dLbls>
        <c:axId val="1988991919"/>
        <c:axId val="1988992879"/>
      </c:scatterChart>
      <c:valAx>
        <c:axId val="1988991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1988992879"/>
        <c:crosses val="autoZero"/>
        <c:crossBetween val="midCat"/>
      </c:valAx>
      <c:valAx>
        <c:axId val="1988992879"/>
        <c:scaling>
          <c:orientation val="minMax"/>
        </c:scaling>
        <c:delete val="1"/>
        <c:axPos val="l"/>
        <c:numFmt formatCode="General" sourceLinked="1"/>
        <c:majorTickMark val="none"/>
        <c:minorTickMark val="none"/>
        <c:tickLblPos val="nextTo"/>
        <c:crossAx val="1988991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50" b="1" i="0" u="none" strike="noStrike" kern="1200" baseline="0">
                <a:solidFill>
                  <a:schemeClr val="tx1"/>
                </a:solidFill>
                <a:latin typeface="+mn-lt"/>
                <a:ea typeface="+mn-ea"/>
                <a:cs typeface="+mn-cs"/>
              </a:defRPr>
            </a:pPr>
            <a:r>
              <a:rPr lang="en-IN" sz="1750" baseline="0">
                <a:solidFill>
                  <a:schemeClr val="tx1"/>
                </a:solidFill>
              </a:rPr>
              <a:t>Absolute Change</a:t>
            </a:r>
          </a:p>
        </c:rich>
      </c:tx>
      <c:overlay val="0"/>
      <c:spPr>
        <a:solidFill>
          <a:schemeClr val="accent6"/>
        </a:solidFill>
        <a:ln>
          <a:noFill/>
        </a:ln>
        <a:effectLst/>
      </c:spPr>
      <c:txPr>
        <a:bodyPr rot="0" spcFirstLastPara="1" vertOverflow="ellipsis" vert="horz" wrap="square" anchor="ctr" anchorCtr="1"/>
        <a:lstStyle/>
        <a:p>
          <a:pPr>
            <a:defRPr sz="175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4010605504266693"/>
          <c:y val="0.16960139850664727"/>
          <c:w val="0.85972324391038046"/>
          <c:h val="0.78921296296296295"/>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9A-4E75-999E-B1B1F249D584}"/>
              </c:ext>
            </c:extLst>
          </c:dPt>
          <c:dLbls>
            <c:dLbl>
              <c:idx val="1"/>
              <c:layout>
                <c:manualLayout>
                  <c:x val="0"/>
                  <c:y val="9.66666666666666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BA-4FCD-9625-731094A32F6B}"/>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Study'!$A$194:$A$206</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'CPI Case Study'!$B$194:$B$206</c:f>
              <c:numCache>
                <c:formatCode>0.00</c:formatCode>
                <c:ptCount val="13"/>
                <c:pt idx="0">
                  <c:v>19.299999999999955</c:v>
                </c:pt>
                <c:pt idx="1">
                  <c:v>-2.5666666666666345</c:v>
                </c:pt>
                <c:pt idx="2">
                  <c:v>11</c:v>
                </c:pt>
                <c:pt idx="3">
                  <c:v>14.533333333333331</c:v>
                </c:pt>
                <c:pt idx="4">
                  <c:v>-31.366666666666646</c:v>
                </c:pt>
                <c:pt idx="5">
                  <c:v>1.1666666666666856</c:v>
                </c:pt>
                <c:pt idx="6">
                  <c:v>-14.599999999999994</c:v>
                </c:pt>
                <c:pt idx="7">
                  <c:v>11.199999999999989</c:v>
                </c:pt>
                <c:pt idx="8">
                  <c:v>3</c:v>
                </c:pt>
                <c:pt idx="9">
                  <c:v>32.666666666666686</c:v>
                </c:pt>
                <c:pt idx="10">
                  <c:v>6.4000000000000057</c:v>
                </c:pt>
                <c:pt idx="11">
                  <c:v>11.733333333333348</c:v>
                </c:pt>
                <c:pt idx="12">
                  <c:v>5.7999999999999829</c:v>
                </c:pt>
              </c:numCache>
            </c:numRef>
          </c:val>
          <c:extLst>
            <c:ext xmlns:c16="http://schemas.microsoft.com/office/drawing/2014/chart" uri="{C3380CC4-5D6E-409C-BE32-E72D297353CC}">
              <c16:uniqueId val="{00000000-C79A-4E75-999E-B1B1F249D584}"/>
            </c:ext>
          </c:extLst>
        </c:ser>
        <c:dLbls>
          <c:dLblPos val="outEnd"/>
          <c:showLegendKey val="0"/>
          <c:showVal val="1"/>
          <c:showCatName val="0"/>
          <c:showSerName val="0"/>
          <c:showPercent val="0"/>
          <c:showBubbleSize val="0"/>
        </c:dLbls>
        <c:gapWidth val="100"/>
        <c:axId val="824809167"/>
        <c:axId val="824816847"/>
      </c:barChart>
      <c:catAx>
        <c:axId val="82480916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i="0" baseline="0">
                    <a:solidFill>
                      <a:schemeClr val="tx1"/>
                    </a:solidFill>
                  </a:rPr>
                  <a:t>Food Categores</a:t>
                </a:r>
              </a:p>
            </c:rich>
          </c:tx>
          <c:layout>
            <c:manualLayout>
              <c:xMode val="edge"/>
              <c:yMode val="edge"/>
              <c:x val="0.37778990224747566"/>
              <c:y val="0.9232143053445379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50" b="1" i="0" u="none" strike="noStrike" kern="1200" baseline="0">
                <a:solidFill>
                  <a:schemeClr val="tx1"/>
                </a:solidFill>
                <a:latin typeface="+mn-lt"/>
                <a:ea typeface="+mn-ea"/>
                <a:cs typeface="+mn-cs"/>
              </a:defRPr>
            </a:pPr>
            <a:endParaRPr lang="en-US"/>
          </a:p>
        </c:txPr>
        <c:crossAx val="824816847"/>
        <c:crosses val="autoZero"/>
        <c:auto val="1"/>
        <c:lblAlgn val="ctr"/>
        <c:lblOffset val="100"/>
        <c:noMultiLvlLbl val="0"/>
      </c:catAx>
      <c:valAx>
        <c:axId val="824816847"/>
        <c:scaling>
          <c:orientation val="minMax"/>
        </c:scaling>
        <c:delete val="1"/>
        <c:axPos val="b"/>
        <c:numFmt formatCode="0.00" sourceLinked="1"/>
        <c:majorTickMark val="none"/>
        <c:minorTickMark val="none"/>
        <c:tickLblPos val="nextTo"/>
        <c:crossAx val="82480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aseline="0">
                <a:solidFill>
                  <a:schemeClr val="tx1"/>
                </a:solidFill>
              </a:rPr>
              <a:t>Impact of Covid on Categories</a:t>
            </a:r>
          </a:p>
        </c:rich>
      </c:tx>
      <c:overlay val="0"/>
      <c:spPr>
        <a:solidFill>
          <a:schemeClr val="accent6"/>
        </a:solid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3.0780532161690112E-2"/>
          <c:y val="0.12057668716424794"/>
          <c:w val="0.96921946783830992"/>
          <c:h val="0.79331727898171023"/>
        </c:manualLayout>
      </c:layout>
      <c:barChart>
        <c:barDir val="col"/>
        <c:grouping val="clustered"/>
        <c:varyColors val="0"/>
        <c:ser>
          <c:idx val="0"/>
          <c:order val="0"/>
          <c:tx>
            <c:strRef>
              <c:f>'CPI Case Study'!$A$427</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77B-4D33-B0FF-0E14318917D9}"/>
              </c:ext>
            </c:extLst>
          </c:dPt>
          <c:dPt>
            <c:idx val="3"/>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Study'!$B$427:$E$427</c:f>
            </c:numRef>
          </c:val>
          <c:extLst>
            <c:ext xmlns:c16="http://schemas.microsoft.com/office/drawing/2014/chart" uri="{C3380CC4-5D6E-409C-BE32-E72D297353CC}">
              <c16:uniqueId val="{00000000-2AB3-49B1-9401-2BF10CDA173A}"/>
            </c:ext>
          </c:extLst>
        </c:ser>
        <c:ser>
          <c:idx val="1"/>
          <c:order val="1"/>
          <c:tx>
            <c:strRef>
              <c:f>'CPI Case Study'!$A$428</c:f>
              <c:strCache>
                <c:ptCount val="1"/>
                <c:pt idx="0">
                  <c:v>Housing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77B-4D33-B0FF-0E14318917D9}"/>
              </c:ext>
            </c:extLst>
          </c:dPt>
          <c:dPt>
            <c:idx val="3"/>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Study'!$B$428:$E$428</c:f>
            </c:numRef>
          </c:val>
          <c:extLst>
            <c:ext xmlns:c16="http://schemas.microsoft.com/office/drawing/2014/chart" uri="{C3380CC4-5D6E-409C-BE32-E72D297353CC}">
              <c16:uniqueId val="{00000001-2AB3-49B1-9401-2BF10CDA173A}"/>
            </c:ext>
          </c:extLst>
        </c:ser>
        <c:ser>
          <c:idx val="2"/>
          <c:order val="2"/>
          <c:tx>
            <c:strRef>
              <c:f>'CPI Case Study'!$A$429</c:f>
              <c:strCache>
                <c:ptCount val="1"/>
                <c:pt idx="0">
                  <c:v>Fuel and light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77B-4D33-B0FF-0E14318917D9}"/>
              </c:ext>
            </c:extLst>
          </c:dPt>
          <c:dPt>
            <c:idx val="3"/>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Study'!$B$429:$E$429</c:f>
              <c:numCache>
                <c:formatCode>0.00</c:formatCode>
                <c:ptCount val="4"/>
                <c:pt idx="0">
                  <c:v>2.350570852921424</c:v>
                </c:pt>
                <c:pt idx="1">
                  <c:v>6.5855404438081733</c:v>
                </c:pt>
                <c:pt idx="2">
                  <c:v>4.4325050369375383</c:v>
                </c:pt>
                <c:pt idx="3">
                  <c:v>7.524115755627002</c:v>
                </c:pt>
              </c:numCache>
            </c:numRef>
          </c:val>
          <c:extLst>
            <c:ext xmlns:c16="http://schemas.microsoft.com/office/drawing/2014/chart" uri="{C3380CC4-5D6E-409C-BE32-E72D297353CC}">
              <c16:uniqueId val="{00000002-2AB3-49B1-9401-2BF10CDA173A}"/>
            </c:ext>
          </c:extLst>
        </c:ser>
        <c:ser>
          <c:idx val="3"/>
          <c:order val="3"/>
          <c:tx>
            <c:strRef>
              <c:f>'CPI Case Study'!$A$430</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77B-4D33-B0FF-0E14318917D9}"/>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Study'!$B$430:$E$430</c:f>
            </c:numRef>
          </c:val>
          <c:extLst>
            <c:ext xmlns:c16="http://schemas.microsoft.com/office/drawing/2014/chart" uri="{C3380CC4-5D6E-409C-BE32-E72D297353CC}">
              <c16:uniqueId val="{00000003-2AB3-49B1-9401-2BF10CDA173A}"/>
            </c:ext>
          </c:extLst>
        </c:ser>
        <c:ser>
          <c:idx val="4"/>
          <c:order val="4"/>
          <c:tx>
            <c:strRef>
              <c:f>'CPI Case Study'!$A$431</c:f>
              <c:strCache>
                <c:ptCount val="1"/>
                <c:pt idx="0">
                  <c:v>Personal care and effects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77B-4D33-B0FF-0E14318917D9}"/>
              </c:ext>
            </c:extLst>
          </c:dPt>
          <c:dPt>
            <c:idx val="3"/>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Study'!$B$431:$E$431</c:f>
            </c:numRef>
          </c:val>
          <c:extLst>
            <c:ext xmlns:c16="http://schemas.microsoft.com/office/drawing/2014/chart" uri="{C3380CC4-5D6E-409C-BE32-E72D297353CC}">
              <c16:uniqueId val="{00000004-2AB3-49B1-9401-2BF10CDA173A}"/>
            </c:ext>
          </c:extLst>
        </c:ser>
        <c:dLbls>
          <c:dLblPos val="outEnd"/>
          <c:showLegendKey val="0"/>
          <c:showVal val="1"/>
          <c:showCatName val="0"/>
          <c:showSerName val="0"/>
          <c:showPercent val="0"/>
          <c:showBubbleSize val="0"/>
        </c:dLbls>
        <c:gapWidth val="100"/>
        <c:overlap val="-24"/>
        <c:axId val="576990543"/>
        <c:axId val="576985743"/>
      </c:barChart>
      <c:catAx>
        <c:axId val="576990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576985743"/>
        <c:crosses val="autoZero"/>
        <c:auto val="1"/>
        <c:lblAlgn val="ctr"/>
        <c:lblOffset val="100"/>
        <c:noMultiLvlLbl val="0"/>
      </c:catAx>
      <c:valAx>
        <c:axId val="576985743"/>
        <c:scaling>
          <c:orientation val="minMax"/>
        </c:scaling>
        <c:delete val="1"/>
        <c:axPos val="l"/>
        <c:numFmt formatCode="0.00" sourceLinked="1"/>
        <c:majorTickMark val="none"/>
        <c:minorTickMark val="none"/>
        <c:tickLblPos val="nextTo"/>
        <c:crossAx val="576990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r>
              <a:rPr lang="en-IN" sz="1900" baseline="0">
                <a:solidFill>
                  <a:schemeClr val="tx1"/>
                </a:solidFill>
              </a:rPr>
              <a:t>Monthly fluctuations in imported oil year wise</a:t>
            </a:r>
          </a:p>
        </c:rich>
      </c:tx>
      <c:overlay val="0"/>
      <c:spPr>
        <a:solidFill>
          <a:schemeClr val="accent6"/>
        </a:solidFill>
        <a:ln>
          <a:noFill/>
        </a:ln>
        <a:effectLst/>
      </c:spPr>
      <c:txPr>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4.155476098235459E-2"/>
          <c:y val="0.21670157726653444"/>
          <c:w val="0.93409916294460993"/>
          <c:h val="0.7082889258403734"/>
        </c:manualLayout>
      </c:layout>
      <c:barChart>
        <c:barDir val="col"/>
        <c:grouping val="clustered"/>
        <c:varyColors val="0"/>
        <c:ser>
          <c:idx val="0"/>
          <c:order val="0"/>
          <c:tx>
            <c:strRef>
              <c:f>'CPI Case Study'!$A$506</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2FB-499E-8DF5-D0BC3140CC66}"/>
                </c:ext>
              </c:extLst>
            </c:dLbl>
            <c:dLbl>
              <c:idx val="3"/>
              <c:layout>
                <c:manualLayout>
                  <c:x val="-5.1177670738985414E-3"/>
                  <c:y val="8.92001707381937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2FB-499E-8DF5-D0BC3140CC66}"/>
                </c:ext>
              </c:extLst>
            </c:dLbl>
            <c:dLbl>
              <c:idx val="4"/>
              <c:layout>
                <c:manualLayout>
                  <c:x val="-2.5588835369492707E-3"/>
                  <c:y val="0.1702912350456425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2FB-499E-8DF5-D0BC3140CC66}"/>
                </c:ext>
              </c:extLst>
            </c:dLbl>
            <c:dLbl>
              <c:idx val="5"/>
              <c:layout>
                <c:manualLayout>
                  <c:x val="-5.1177670738986351E-3"/>
                  <c:y val="0.2108367671993669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2FB-499E-8DF5-D0BC3140CC66}"/>
                </c:ext>
              </c:extLst>
            </c:dLbl>
            <c:dLbl>
              <c:idx val="6"/>
              <c:layout>
                <c:manualLayout>
                  <c:x val="-9.3824645817825071E-17"/>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2FB-499E-8DF5-D0BC3140CC66}"/>
                </c:ext>
              </c:extLst>
            </c:dLbl>
            <c:dLbl>
              <c:idx val="9"/>
              <c:layout>
                <c:manualLayout>
                  <c:x val="0"/>
                  <c:y val="0.1256911496765455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2FB-499E-8DF5-D0BC3140CC66}"/>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Study'!$B$506:$M$506</c:f>
            </c:numRef>
          </c:val>
          <c:extLst>
            <c:ext xmlns:c16="http://schemas.microsoft.com/office/drawing/2014/chart" uri="{C3380CC4-5D6E-409C-BE32-E72D297353CC}">
              <c16:uniqueId val="{00000000-F2FB-499E-8DF5-D0BC3140CC66}"/>
            </c:ext>
          </c:extLst>
        </c:ser>
        <c:ser>
          <c:idx val="1"/>
          <c:order val="1"/>
          <c:tx>
            <c:strRef>
              <c:f>'CPI Case Study'!$A$507</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0541546328788963E-3"/>
                  <c:y val="0.117469068790934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2FB-499E-8DF5-D0BC3140CC66}"/>
                </c:ext>
              </c:extLst>
            </c:dLbl>
            <c:dLbl>
              <c:idx val="5"/>
              <c:layout>
                <c:manualLayout>
                  <c:x val="-7.5318133124058532E-17"/>
                  <c:y val="0.137047246922757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2FB-499E-8DF5-D0BC3140CC66}"/>
                </c:ext>
              </c:extLst>
            </c:dLbl>
            <c:dLbl>
              <c:idx val="8"/>
              <c:layout>
                <c:manualLayout>
                  <c:x val="2.0541546328788208E-3"/>
                  <c:y val="0.180119238812767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2FB-499E-8DF5-D0BC3140CC6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Study'!$B$507:$M$507</c:f>
              <c:numCache>
                <c:formatCode>0.00</c:formatCode>
                <c:ptCount val="12"/>
                <c:pt idx="0">
                  <c:v>-2.0068715128435244</c:v>
                </c:pt>
                <c:pt idx="1">
                  <c:v>-8.64902538353906</c:v>
                </c:pt>
                <c:pt idx="2">
                  <c:v>8.199458614402257</c:v>
                </c:pt>
                <c:pt idx="3">
                  <c:v>13.63831917412133</c:v>
                </c:pt>
                <c:pt idx="4">
                  <c:v>-9.1644341207570772</c:v>
                </c:pt>
                <c:pt idx="5">
                  <c:v>-2.2123600334530478</c:v>
                </c:pt>
                <c:pt idx="6">
                  <c:v>7.3640165554892878</c:v>
                </c:pt>
                <c:pt idx="7">
                  <c:v>-14.483150033379545</c:v>
                </c:pt>
                <c:pt idx="8">
                  <c:v>-4.9044164522039413</c:v>
                </c:pt>
                <c:pt idx="9">
                  <c:v>8.0564022569128131</c:v>
                </c:pt>
                <c:pt idx="10">
                  <c:v>4.8546735901853237</c:v>
                </c:pt>
                <c:pt idx="11">
                  <c:v>3.2332771022824143</c:v>
                </c:pt>
              </c:numCache>
            </c:numRef>
          </c:val>
          <c:extLst>
            <c:ext xmlns:c16="http://schemas.microsoft.com/office/drawing/2014/chart" uri="{C3380CC4-5D6E-409C-BE32-E72D297353CC}">
              <c16:uniqueId val="{00000001-F2FB-499E-8DF5-D0BC3140CC66}"/>
            </c:ext>
          </c:extLst>
        </c:ser>
        <c:ser>
          <c:idx val="2"/>
          <c:order val="2"/>
          <c:tx>
            <c:strRef>
              <c:f>'CPI Case Study'!$A$508</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Study'!$B$508:$M$508</c:f>
            </c:numRef>
          </c:val>
          <c:extLst>
            <c:ext xmlns:c16="http://schemas.microsoft.com/office/drawing/2014/chart" uri="{C3380CC4-5D6E-409C-BE32-E72D297353CC}">
              <c16:uniqueId val="{00000002-F2FB-499E-8DF5-D0BC3140CC66}"/>
            </c:ext>
          </c:extLst>
        </c:ser>
        <c:dLbls>
          <c:dLblPos val="outEnd"/>
          <c:showLegendKey val="0"/>
          <c:showVal val="1"/>
          <c:showCatName val="0"/>
          <c:showSerName val="0"/>
          <c:showPercent val="0"/>
          <c:showBubbleSize val="0"/>
        </c:dLbls>
        <c:gapWidth val="100"/>
        <c:overlap val="-24"/>
        <c:axId val="649806159"/>
        <c:axId val="649796079"/>
      </c:barChart>
      <c:catAx>
        <c:axId val="649806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9796079"/>
        <c:crosses val="autoZero"/>
        <c:auto val="1"/>
        <c:lblAlgn val="ctr"/>
        <c:lblOffset val="100"/>
        <c:noMultiLvlLbl val="0"/>
      </c:catAx>
      <c:valAx>
        <c:axId val="649796079"/>
        <c:scaling>
          <c:orientation val="minMax"/>
        </c:scaling>
        <c:delete val="1"/>
        <c:axPos val="l"/>
        <c:numFmt formatCode="0.00" sourceLinked="1"/>
        <c:majorTickMark val="none"/>
        <c:minorTickMark val="none"/>
        <c:tickLblPos val="nextTo"/>
        <c:crossAx val="649806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r>
              <a:rPr lang="en-US" sz="1500" baseline="0"/>
              <a:t>YoY Inflation Growth Rate</a:t>
            </a:r>
          </a:p>
          <a:p>
            <a:pPr>
              <a:defRPr sz="1500"/>
            </a:pPr>
            <a:endParaRPr lang="en-US" sz="1500" baseline="0"/>
          </a:p>
        </c:rich>
      </c:tx>
      <c:overlay val="0"/>
      <c:spPr>
        <a:solidFill>
          <a:schemeClr val="accent6"/>
        </a:solid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'CPI Case Study'!$D$311</c:f>
              <c:strCache>
                <c:ptCount val="1"/>
                <c:pt idx="0">
                  <c:v>YoY Growth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25-487E-9ECB-628AD91F6F28}"/>
              </c:ext>
            </c:extLst>
          </c:dPt>
          <c:dLbls>
            <c:spPr>
              <a:noFill/>
              <a:ln>
                <a:noFill/>
              </a:ln>
              <a:effectLst/>
            </c:spPr>
            <c:txPr>
              <a:bodyPr rot="0" spcFirstLastPara="1" vertOverflow="ellipsis" vert="horz" wrap="square" lIns="38100" tIns="19050" rIns="38100" bIns="19050" anchor="ctr" anchorCtr="1">
                <a:spAutoFit/>
              </a:bodyPr>
              <a:lstStyle/>
              <a:p>
                <a:pPr>
                  <a:defRPr sz="13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'CPI Case Study'!$B$312:$B$319</c:f>
              <c:numCache>
                <c:formatCode>General</c:formatCode>
                <c:ptCount val="8"/>
                <c:pt idx="0">
                  <c:v>2016</c:v>
                </c:pt>
                <c:pt idx="1">
                  <c:v>2017</c:v>
                </c:pt>
                <c:pt idx="2">
                  <c:v>2018</c:v>
                </c:pt>
                <c:pt idx="3">
                  <c:v>2019</c:v>
                </c:pt>
                <c:pt idx="4">
                  <c:v>2020</c:v>
                </c:pt>
                <c:pt idx="5">
                  <c:v>2021</c:v>
                </c:pt>
                <c:pt idx="6">
                  <c:v>2022</c:v>
                </c:pt>
                <c:pt idx="7">
                  <c:v>2023</c:v>
                </c:pt>
              </c:numCache>
            </c:numRef>
          </c:cat>
          <c:val>
            <c:numRef>
              <c:f>'CPI Case Study'!$D$312:$D$319</c:f>
              <c:numCache>
                <c:formatCode>0.00</c:formatCode>
                <c:ptCount val="8"/>
                <c:pt idx="1">
                  <c:v>3.3199931147258694</c:v>
                </c:pt>
                <c:pt idx="2">
                  <c:v>3.9609321310314876</c:v>
                </c:pt>
                <c:pt idx="3">
                  <c:v>3.9358550145593605</c:v>
                </c:pt>
                <c:pt idx="4">
                  <c:v>6.3851393969975936</c:v>
                </c:pt>
                <c:pt idx="5">
                  <c:v>5.2740276962542714</c:v>
                </c:pt>
                <c:pt idx="6">
                  <c:v>6.6029943211151076</c:v>
                </c:pt>
                <c:pt idx="7">
                  <c:v>3.1953121216523988</c:v>
                </c:pt>
              </c:numCache>
            </c:numRef>
          </c:val>
          <c:extLst>
            <c:ext xmlns:c16="http://schemas.microsoft.com/office/drawing/2014/chart" uri="{C3380CC4-5D6E-409C-BE32-E72D297353CC}">
              <c16:uniqueId val="{00000000-AA25-487E-9ECB-628AD91F6F28}"/>
            </c:ext>
          </c:extLst>
        </c:ser>
        <c:dLbls>
          <c:dLblPos val="outEnd"/>
          <c:showLegendKey val="0"/>
          <c:showVal val="1"/>
          <c:showCatName val="0"/>
          <c:showSerName val="0"/>
          <c:showPercent val="0"/>
          <c:showBubbleSize val="0"/>
        </c:dLbls>
        <c:gapWidth val="100"/>
        <c:overlap val="-24"/>
        <c:axId val="832654623"/>
        <c:axId val="832651743"/>
      </c:barChart>
      <c:catAx>
        <c:axId val="832654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32651743"/>
        <c:crosses val="autoZero"/>
        <c:auto val="1"/>
        <c:lblAlgn val="ctr"/>
        <c:lblOffset val="100"/>
        <c:noMultiLvlLbl val="0"/>
      </c:catAx>
      <c:valAx>
        <c:axId val="832651743"/>
        <c:scaling>
          <c:orientation val="minMax"/>
        </c:scaling>
        <c:delete val="1"/>
        <c:axPos val="l"/>
        <c:numFmt formatCode="General" sourceLinked="1"/>
        <c:majorTickMark val="none"/>
        <c:minorTickMark val="none"/>
        <c:tickLblPos val="nextTo"/>
        <c:crossAx val="8326546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050" b="1" i="0" baseline="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00" b="1" i="0" u="none" strike="noStrike" kern="1200" baseline="0">
                <a:solidFill>
                  <a:schemeClr val="tx1"/>
                </a:solidFill>
                <a:latin typeface="+mn-lt"/>
                <a:ea typeface="+mn-ea"/>
                <a:cs typeface="+mn-cs"/>
              </a:defRPr>
            </a:pPr>
            <a:r>
              <a:rPr lang="en-IN" sz="1700" baseline="0">
                <a:solidFill>
                  <a:schemeClr val="tx1"/>
                </a:solidFill>
              </a:rPr>
              <a:t>Monthly inflation rate</a:t>
            </a:r>
          </a:p>
        </c:rich>
      </c:tx>
      <c:overlay val="0"/>
      <c:spPr>
        <a:solidFill>
          <a:schemeClr val="accent6"/>
        </a:solidFill>
        <a:ln>
          <a:noFill/>
        </a:ln>
        <a:effectLst/>
      </c:spPr>
      <c:txPr>
        <a:bodyPr rot="0" spcFirstLastPara="1" vertOverflow="ellipsis" vert="horz" wrap="square" anchor="ctr" anchorCtr="1"/>
        <a:lstStyle/>
        <a:p>
          <a:pPr>
            <a:defRPr sz="17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1.8691768851458374E-2"/>
          <c:y val="0.15968757209668769"/>
          <c:w val="0.96261646229708331"/>
          <c:h val="0.71151136073442822"/>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41-42BC-943D-CADB8656DEAC}"/>
              </c:ext>
            </c:extLst>
          </c:dPt>
          <c:dPt>
            <c:idx val="9"/>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41-42BC-943D-CADB8656DEAC}"/>
              </c:ext>
            </c:extLst>
          </c:dPt>
          <c:dLbls>
            <c:dLbl>
              <c:idx val="5"/>
              <c:layout>
                <c:manualLayout>
                  <c:x val="0"/>
                  <c:y val="0.117171717171717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41-42BC-943D-CADB8656DEAC}"/>
                </c:ext>
              </c:extLst>
            </c:dLbl>
            <c:dLbl>
              <c:idx val="9"/>
              <c:layout>
                <c:manualLayout>
                  <c:x val="-8.0645161290323567E-3"/>
                  <c:y val="-7.27272727272727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41-42BC-943D-CADB8656DEAC}"/>
                </c:ext>
              </c:extLst>
            </c:dLbl>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Study'!$C$173:$C$184</c:f>
              <c:strCache>
                <c:ptCount val="5"/>
                <c:pt idx="0">
                  <c:v>January</c:v>
                </c:pt>
                <c:pt idx="1">
                  <c:v>February</c:v>
                </c:pt>
                <c:pt idx="2">
                  <c:v>March</c:v>
                </c:pt>
                <c:pt idx="3">
                  <c:v>April</c:v>
                </c:pt>
                <c:pt idx="4">
                  <c:v>May</c:v>
                </c:pt>
              </c:strCache>
            </c:strRef>
          </c:cat>
          <c:val>
            <c:numRef>
              <c:f>'CPI Case Study'!$E$173:$E$184</c:f>
              <c:numCache>
                <c:formatCode>0.00</c:formatCode>
                <c:ptCount val="5"/>
                <c:pt idx="0">
                  <c:v>0.43463675743479679</c:v>
                </c:pt>
                <c:pt idx="1">
                  <c:v>-0.55328850873501689</c:v>
                </c:pt>
                <c:pt idx="2">
                  <c:v>5.8411214953068488E-3</c:v>
                </c:pt>
                <c:pt idx="3">
                  <c:v>0.48332457216286467</c:v>
                </c:pt>
                <c:pt idx="4">
                  <c:v>0.74402383201336653</c:v>
                </c:pt>
              </c:numCache>
            </c:numRef>
          </c:val>
          <c:extLst>
            <c:ext xmlns:c16="http://schemas.microsoft.com/office/drawing/2014/chart" uri="{C3380CC4-5D6E-409C-BE32-E72D297353CC}">
              <c16:uniqueId val="{00000005-1B41-42BC-943D-CADB8656DEAC}"/>
            </c:ext>
          </c:extLst>
        </c:ser>
        <c:dLbls>
          <c:dLblPos val="outEnd"/>
          <c:showLegendKey val="0"/>
          <c:showVal val="1"/>
          <c:showCatName val="0"/>
          <c:showSerName val="0"/>
          <c:showPercent val="0"/>
          <c:showBubbleSize val="0"/>
        </c:dLbls>
        <c:gapWidth val="100"/>
        <c:overlap val="-24"/>
        <c:axId val="774137183"/>
        <c:axId val="774143423"/>
      </c:barChart>
      <c:catAx>
        <c:axId val="774137183"/>
        <c:scaling>
          <c:orientation val="minMax"/>
        </c:scaling>
        <c:delete val="0"/>
        <c:axPos val="b"/>
        <c:title>
          <c:tx>
            <c:rich>
              <a:bodyPr rot="0" spcFirstLastPara="1" vertOverflow="ellipsis" vert="horz" wrap="square" anchor="ctr" anchorCtr="1"/>
              <a:lstStyle/>
              <a:p>
                <a:pPr>
                  <a:defRPr sz="1250" b="1" i="0" u="none" strike="noStrike" kern="1200" baseline="0">
                    <a:solidFill>
                      <a:schemeClr val="tx1"/>
                    </a:solidFill>
                    <a:latin typeface="+mn-lt"/>
                    <a:ea typeface="+mn-ea"/>
                    <a:cs typeface="+mn-cs"/>
                  </a:defRPr>
                </a:pPr>
                <a:r>
                  <a:rPr lang="en-IN" sz="1250" b="1" i="0" baseline="0">
                    <a:solidFill>
                      <a:schemeClr val="tx1"/>
                    </a:solidFill>
                  </a:rPr>
                  <a:t>Months</a:t>
                </a:r>
              </a:p>
            </c:rich>
          </c:tx>
          <c:overlay val="0"/>
          <c:spPr>
            <a:noFill/>
            <a:ln>
              <a:noFill/>
            </a:ln>
            <a:effectLst/>
          </c:spPr>
          <c:txPr>
            <a:bodyPr rot="0" spcFirstLastPara="1" vertOverflow="ellipsis" vert="horz" wrap="square" anchor="ctr" anchorCtr="1"/>
            <a:lstStyle/>
            <a:p>
              <a:pPr>
                <a:defRPr sz="12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774143423"/>
        <c:crosses val="autoZero"/>
        <c:auto val="1"/>
        <c:lblAlgn val="ctr"/>
        <c:lblOffset val="100"/>
        <c:noMultiLvlLbl val="0"/>
      </c:catAx>
      <c:valAx>
        <c:axId val="774143423"/>
        <c:scaling>
          <c:orientation val="minMax"/>
        </c:scaling>
        <c:delete val="1"/>
        <c:axPos val="l"/>
        <c:numFmt formatCode="0.00" sourceLinked="1"/>
        <c:majorTickMark val="none"/>
        <c:minorTickMark val="none"/>
        <c:tickLblPos val="nextTo"/>
        <c:crossAx val="774137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baseline="0">
                <a:solidFill>
                  <a:schemeClr val="tx1"/>
                </a:solidFill>
              </a:rPr>
              <a:t>Correlation (Mom% growth)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'CPI Case Study'!$D$472:$D$499</c:f>
              <c:numCache>
                <c:formatCode>0.00</c:formatCode>
                <c:ptCount val="28"/>
                <c:pt idx="0">
                  <c:v>-22.244849732603932</c:v>
                </c:pt>
                <c:pt idx="1">
                  <c:v>19.859359456924995</c:v>
                </c:pt>
                <c:pt idx="2">
                  <c:v>-2.2505320844658869E-2</c:v>
                </c:pt>
                <c:pt idx="3">
                  <c:v>-5.4624621368815518</c:v>
                </c:pt>
                <c:pt idx="4">
                  <c:v>-7.8479568424535078</c:v>
                </c:pt>
                <c:pt idx="5">
                  <c:v>-5.5551066204623831</c:v>
                </c:pt>
                <c:pt idx="6">
                  <c:v>15.747535750717947</c:v>
                </c:pt>
                <c:pt idx="7">
                  <c:v>1.2702140324329532</c:v>
                </c:pt>
                <c:pt idx="8">
                  <c:v>-2.972364884924239</c:v>
                </c:pt>
                <c:pt idx="9">
                  <c:v>7.3530445036850063</c:v>
                </c:pt>
                <c:pt idx="10">
                  <c:v>7.1303544099225293</c:v>
                </c:pt>
                <c:pt idx="11">
                  <c:v>-2.0068715128435244</c:v>
                </c:pt>
                <c:pt idx="12">
                  <c:v>-8.64902538353906</c:v>
                </c:pt>
                <c:pt idx="13">
                  <c:v>8.199458614402257</c:v>
                </c:pt>
                <c:pt idx="14">
                  <c:v>13.63831917412133</c:v>
                </c:pt>
                <c:pt idx="15">
                  <c:v>-9.1644341207570772</c:v>
                </c:pt>
                <c:pt idx="16">
                  <c:v>-2.2123600334530478</c:v>
                </c:pt>
                <c:pt idx="17">
                  <c:v>7.3640165554892878</c:v>
                </c:pt>
                <c:pt idx="18">
                  <c:v>-14.483150033379545</c:v>
                </c:pt>
                <c:pt idx="19">
                  <c:v>-4.9044164522039413</c:v>
                </c:pt>
                <c:pt idx="20">
                  <c:v>8.0564022569128131</c:v>
                </c:pt>
                <c:pt idx="21">
                  <c:v>4.8546735901853237</c:v>
                </c:pt>
                <c:pt idx="22">
                  <c:v>3.2332771022824143</c:v>
                </c:pt>
                <c:pt idx="23">
                  <c:v>3.1175920538676714</c:v>
                </c:pt>
                <c:pt idx="24">
                  <c:v>-4.6686529489769786</c:v>
                </c:pt>
                <c:pt idx="25">
                  <c:v>8.5204946345298591</c:v>
                </c:pt>
                <c:pt idx="26">
                  <c:v>-4.4493547822134873</c:v>
                </c:pt>
                <c:pt idx="27">
                  <c:v>3.542288462769652</c:v>
                </c:pt>
              </c:numCache>
            </c:numRef>
          </c:yVal>
          <c:smooth val="0"/>
          <c:extLst>
            <c:ext xmlns:c16="http://schemas.microsoft.com/office/drawing/2014/chart" uri="{C3380CC4-5D6E-409C-BE32-E72D297353CC}">
              <c16:uniqueId val="{00000000-B176-4AA0-B6BD-325F5A7E7069}"/>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'CPI Case Study'!$N$612:$N$639</c:f>
              <c:numCache>
                <c:formatCode>General</c:formatCode>
                <c:ptCount val="28"/>
                <c:pt idx="0">
                  <c:v>2.4374176548089515</c:v>
                </c:pt>
                <c:pt idx="1">
                  <c:v>0.64308681672025725</c:v>
                </c:pt>
                <c:pt idx="2">
                  <c:v>0.70287539936101873</c:v>
                </c:pt>
                <c:pt idx="3">
                  <c:v>1.0786802030456961</c:v>
                </c:pt>
                <c:pt idx="4">
                  <c:v>0.43942247332077122</c:v>
                </c:pt>
                <c:pt idx="5">
                  <c:v>0.56250000000000355</c:v>
                </c:pt>
                <c:pt idx="6">
                  <c:v>1.1187072715972548</c:v>
                </c:pt>
                <c:pt idx="7">
                  <c:v>0</c:v>
                </c:pt>
                <c:pt idx="8">
                  <c:v>0.30731407498463431</c:v>
                </c:pt>
                <c:pt idx="9">
                  <c:v>0.30637254901960786</c:v>
                </c:pt>
                <c:pt idx="10">
                  <c:v>0.30543677458766039</c:v>
                </c:pt>
                <c:pt idx="11">
                  <c:v>6.09013398294901E-2</c:v>
                </c:pt>
                <c:pt idx="12">
                  <c:v>0.2434570906877524</c:v>
                </c:pt>
                <c:pt idx="13">
                  <c:v>0.36429872495447652</c:v>
                </c:pt>
                <c:pt idx="14">
                  <c:v>0.54446460980034916</c:v>
                </c:pt>
                <c:pt idx="15">
                  <c:v>0.5415162454873681</c:v>
                </c:pt>
                <c:pt idx="16">
                  <c:v>0.47875523638540479</c:v>
                </c:pt>
                <c:pt idx="17">
                  <c:v>0.29779630732578916</c:v>
                </c:pt>
                <c:pt idx="18">
                  <c:v>0.23752969121140477</c:v>
                </c:pt>
                <c:pt idx="19">
                  <c:v>0.35545023696682126</c:v>
                </c:pt>
                <c:pt idx="20">
                  <c:v>0.29515938606847697</c:v>
                </c:pt>
                <c:pt idx="21">
                  <c:v>0.29429075927015891</c:v>
                </c:pt>
                <c:pt idx="22">
                  <c:v>0.35211267605633467</c:v>
                </c:pt>
                <c:pt idx="23">
                  <c:v>0.23391812865497411</c:v>
                </c:pt>
                <c:pt idx="24">
                  <c:v>0.52508751458576763</c:v>
                </c:pt>
                <c:pt idx="25">
                  <c:v>0</c:v>
                </c:pt>
                <c:pt idx="26">
                  <c:v>0.34822983168891136</c:v>
                </c:pt>
                <c:pt idx="27">
                  <c:v>0.2891844997108155</c:v>
                </c:pt>
              </c:numCache>
            </c:numRef>
          </c:yVal>
          <c:smooth val="0"/>
          <c:extLst>
            <c:ext xmlns:c16="http://schemas.microsoft.com/office/drawing/2014/chart" uri="{C3380CC4-5D6E-409C-BE32-E72D297353CC}">
              <c16:uniqueId val="{00000001-B176-4AA0-B6BD-325F5A7E7069}"/>
            </c:ext>
          </c:extLst>
        </c:ser>
        <c:dLbls>
          <c:showLegendKey val="0"/>
          <c:showVal val="0"/>
          <c:showCatName val="0"/>
          <c:showSerName val="0"/>
          <c:showPercent val="0"/>
          <c:showBubbleSize val="0"/>
        </c:dLbls>
        <c:axId val="1157539808"/>
        <c:axId val="339929232"/>
      </c:scatterChart>
      <c:valAx>
        <c:axId val="115753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baseline="0">
                    <a:solidFill>
                      <a:schemeClr val="tx1"/>
                    </a:solidFill>
                  </a:rPr>
                  <a:t>Non-Alcoholic beverages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929232"/>
        <c:crosses val="autoZero"/>
        <c:crossBetween val="midCat"/>
      </c:valAx>
      <c:valAx>
        <c:axId val="33992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baseline="0">
                    <a:solidFill>
                      <a:schemeClr val="tx1"/>
                    </a:solidFill>
                  </a:rPr>
                  <a:t>Crude oil</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3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r>
              <a:rPr lang="en-IN" sz="1900" baseline="0">
                <a:solidFill>
                  <a:schemeClr val="tx1"/>
                </a:solidFill>
              </a:rPr>
              <a:t>India CPI Inflation Trend(2017-2023) </a:t>
            </a:r>
          </a:p>
        </c:rich>
      </c:tx>
      <c:layout>
        <c:manualLayout>
          <c:xMode val="edge"/>
          <c:yMode val="edge"/>
          <c:x val="0.17713238517791063"/>
          <c:y val="2.7586216883416375E-2"/>
        </c:manualLayout>
      </c:layout>
      <c:overlay val="0"/>
      <c:spPr>
        <a:noFill/>
        <a:ln>
          <a:noFill/>
        </a:ln>
        <a:effectLst/>
      </c:spPr>
      <c:txPr>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44861266307126E-2"/>
          <c:y val="0.3547355410059852"/>
          <c:w val="0.92991027746738575"/>
          <c:h val="0.57629777483344957"/>
        </c:manualLayout>
      </c:layout>
      <c:scatterChart>
        <c:scatterStyle val="line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5"/>
              <c:spPr>
                <a:solidFill>
                  <a:schemeClr val="accent4"/>
                </a:solidFill>
                <a:ln>
                  <a:noFill/>
                </a:ln>
                <a:effectLst/>
              </c:spPr>
              <c:txPr>
                <a:bodyPr rot="0" spcFirstLastPara="1" vertOverflow="ellipsis" vert="horz" wrap="square" lIns="38100" tIns="19050" rIns="38100" bIns="19050" anchor="ctr" anchorCtr="1">
                  <a:no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8.3194444444444432E-2"/>
                      <c:h val="0.10641221930592007"/>
                    </c:manualLayout>
                  </c15:layout>
                </c:ext>
                <c:ext xmlns:c16="http://schemas.microsoft.com/office/drawing/2014/chart" uri="{C3380CC4-5D6E-409C-BE32-E72D297353CC}">
                  <c16:uniqueId val="{00000000-64C4-419C-BDAA-0F6422136B7C}"/>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'CPI Case Study'!$B$121:$B$127</c:f>
              <c:numCache>
                <c:formatCode>General</c:formatCode>
                <c:ptCount val="7"/>
                <c:pt idx="0">
                  <c:v>2017</c:v>
                </c:pt>
                <c:pt idx="1">
                  <c:v>2018</c:v>
                </c:pt>
                <c:pt idx="2">
                  <c:v>2019</c:v>
                </c:pt>
                <c:pt idx="3">
                  <c:v>2020</c:v>
                </c:pt>
                <c:pt idx="4">
                  <c:v>2021</c:v>
                </c:pt>
                <c:pt idx="5">
                  <c:v>2022</c:v>
                </c:pt>
                <c:pt idx="6">
                  <c:v>2023</c:v>
                </c:pt>
              </c:numCache>
            </c:numRef>
          </c:xVal>
          <c:yVal>
            <c:numRef>
              <c:f>'CPI Case Study'!$D$121:$D$127</c:f>
              <c:numCache>
                <c:formatCode>0.00</c:formatCode>
                <c:ptCount val="7"/>
                <c:pt idx="1">
                  <c:v>3.9609321310314876</c:v>
                </c:pt>
                <c:pt idx="2">
                  <c:v>3.9358550145593605</c:v>
                </c:pt>
                <c:pt idx="3">
                  <c:v>6.3851393969975936</c:v>
                </c:pt>
                <c:pt idx="4">
                  <c:v>5.2740276962542714</c:v>
                </c:pt>
                <c:pt idx="5">
                  <c:v>6.6029943211151076</c:v>
                </c:pt>
                <c:pt idx="6">
                  <c:v>3.1953121216523988</c:v>
                </c:pt>
              </c:numCache>
            </c:numRef>
          </c:yVal>
          <c:smooth val="0"/>
          <c:extLst>
            <c:ext xmlns:c16="http://schemas.microsoft.com/office/drawing/2014/chart" uri="{C3380CC4-5D6E-409C-BE32-E72D297353CC}">
              <c16:uniqueId val="{00000001-64C4-419C-BDAA-0F6422136B7C}"/>
            </c:ext>
          </c:extLst>
        </c:ser>
        <c:dLbls>
          <c:dLblPos val="t"/>
          <c:showLegendKey val="0"/>
          <c:showVal val="1"/>
          <c:showCatName val="0"/>
          <c:showSerName val="0"/>
          <c:showPercent val="0"/>
          <c:showBubbleSize val="0"/>
        </c:dLbls>
        <c:axId val="1988991919"/>
        <c:axId val="1988992879"/>
      </c:scatterChart>
      <c:valAx>
        <c:axId val="1988991919"/>
        <c:scaling>
          <c:orientation val="minMax"/>
          <c:max val="2023"/>
          <c:min val="2017"/>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1988992879"/>
        <c:crosses val="autoZero"/>
        <c:crossBetween val="midCat"/>
      </c:valAx>
      <c:valAx>
        <c:axId val="1988992879"/>
        <c:scaling>
          <c:orientation val="minMax"/>
        </c:scaling>
        <c:delete val="1"/>
        <c:axPos val="l"/>
        <c:numFmt formatCode="General" sourceLinked="1"/>
        <c:majorTickMark val="none"/>
        <c:minorTickMark val="none"/>
        <c:tickLblPos val="nextTo"/>
        <c:crossAx val="1988991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r>
              <a:rPr lang="en-IN" sz="1900" baseline="0">
                <a:solidFill>
                  <a:schemeClr val="tx1"/>
                </a:solidFill>
              </a:rPr>
              <a:t>Monthly fluctuations in imported oil year wise</a:t>
            </a:r>
          </a:p>
        </c:rich>
      </c:tx>
      <c:overlay val="0"/>
      <c:spPr>
        <a:solidFill>
          <a:schemeClr val="accent6"/>
        </a:solidFill>
        <a:ln>
          <a:noFill/>
        </a:ln>
        <a:effectLst/>
      </c:spPr>
      <c:txPr>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4.155476098235459E-2"/>
          <c:y val="0.21670157726653444"/>
          <c:w val="0.93409916294460993"/>
          <c:h val="0.7082889258403734"/>
        </c:manualLayout>
      </c:layout>
      <c:barChart>
        <c:barDir val="col"/>
        <c:grouping val="clustered"/>
        <c:varyColors val="0"/>
        <c:ser>
          <c:idx val="0"/>
          <c:order val="0"/>
          <c:tx>
            <c:strRef>
              <c:f>'CPI Case Study'!$A$506</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EE-4D32-A8AB-9BF751819D72}"/>
                </c:ext>
              </c:extLst>
            </c:dLbl>
            <c:dLbl>
              <c:idx val="3"/>
              <c:layout>
                <c:manualLayout>
                  <c:x val="-5.1177670738985414E-3"/>
                  <c:y val="8.92001707381937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EE-4D32-A8AB-9BF751819D72}"/>
                </c:ext>
              </c:extLst>
            </c:dLbl>
            <c:dLbl>
              <c:idx val="4"/>
              <c:layout>
                <c:manualLayout>
                  <c:x val="-2.5588835369492707E-3"/>
                  <c:y val="0.1702912350456425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EE-4D32-A8AB-9BF751819D72}"/>
                </c:ext>
              </c:extLst>
            </c:dLbl>
            <c:dLbl>
              <c:idx val="5"/>
              <c:layout>
                <c:manualLayout>
                  <c:x val="-5.1177670738986351E-3"/>
                  <c:y val="0.2108367671993669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EE-4D32-A8AB-9BF751819D72}"/>
                </c:ext>
              </c:extLst>
            </c:dLbl>
            <c:dLbl>
              <c:idx val="6"/>
              <c:layout>
                <c:manualLayout>
                  <c:x val="-9.3824645817825071E-17"/>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EE-4D32-A8AB-9BF751819D72}"/>
                </c:ext>
              </c:extLst>
            </c:dLbl>
            <c:dLbl>
              <c:idx val="9"/>
              <c:layout>
                <c:manualLayout>
                  <c:x val="0"/>
                  <c:y val="0.1256911496765455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EE-4D32-A8AB-9BF751819D72}"/>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Study'!$B$506:$M$506</c:f>
            </c:numRef>
          </c:val>
          <c:extLst>
            <c:ext xmlns:c16="http://schemas.microsoft.com/office/drawing/2014/chart" uri="{C3380CC4-5D6E-409C-BE32-E72D297353CC}">
              <c16:uniqueId val="{00000006-49EE-4D32-A8AB-9BF751819D72}"/>
            </c:ext>
          </c:extLst>
        </c:ser>
        <c:ser>
          <c:idx val="1"/>
          <c:order val="1"/>
          <c:tx>
            <c:strRef>
              <c:f>'CPI Case Study'!$A$507</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0541546328788963E-3"/>
                  <c:y val="0.117469068790934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EE-4D32-A8AB-9BF751819D72}"/>
                </c:ext>
              </c:extLst>
            </c:dLbl>
            <c:dLbl>
              <c:idx val="5"/>
              <c:layout>
                <c:manualLayout>
                  <c:x val="-7.5318133124058532E-17"/>
                  <c:y val="0.137047246922757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EE-4D32-A8AB-9BF751819D72}"/>
                </c:ext>
              </c:extLst>
            </c:dLbl>
            <c:dLbl>
              <c:idx val="8"/>
              <c:layout>
                <c:manualLayout>
                  <c:x val="2.0541546328788208E-3"/>
                  <c:y val="0.180119238812767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EE-4D32-A8AB-9BF751819D7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Study'!$B$507:$M$507</c:f>
              <c:numCache>
                <c:formatCode>0.00</c:formatCode>
                <c:ptCount val="12"/>
                <c:pt idx="0">
                  <c:v>-2.0068715128435244</c:v>
                </c:pt>
                <c:pt idx="1">
                  <c:v>-8.64902538353906</c:v>
                </c:pt>
                <c:pt idx="2">
                  <c:v>8.199458614402257</c:v>
                </c:pt>
                <c:pt idx="3">
                  <c:v>13.63831917412133</c:v>
                </c:pt>
                <c:pt idx="4">
                  <c:v>-9.1644341207570772</c:v>
                </c:pt>
                <c:pt idx="5">
                  <c:v>-2.2123600334530478</c:v>
                </c:pt>
                <c:pt idx="6">
                  <c:v>7.3640165554892878</c:v>
                </c:pt>
                <c:pt idx="7">
                  <c:v>-14.483150033379545</c:v>
                </c:pt>
                <c:pt idx="8">
                  <c:v>-4.9044164522039413</c:v>
                </c:pt>
                <c:pt idx="9">
                  <c:v>8.0564022569128131</c:v>
                </c:pt>
                <c:pt idx="10">
                  <c:v>4.8546735901853237</c:v>
                </c:pt>
                <c:pt idx="11">
                  <c:v>3.2332771022824143</c:v>
                </c:pt>
              </c:numCache>
            </c:numRef>
          </c:val>
          <c:extLst>
            <c:ext xmlns:c16="http://schemas.microsoft.com/office/drawing/2014/chart" uri="{C3380CC4-5D6E-409C-BE32-E72D297353CC}">
              <c16:uniqueId val="{0000000A-49EE-4D32-A8AB-9BF751819D72}"/>
            </c:ext>
          </c:extLst>
        </c:ser>
        <c:ser>
          <c:idx val="2"/>
          <c:order val="2"/>
          <c:tx>
            <c:strRef>
              <c:f>'CPI Case Study'!$A$508</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Study'!$B$508:$M$508</c:f>
            </c:numRef>
          </c:val>
          <c:extLst>
            <c:ext xmlns:c16="http://schemas.microsoft.com/office/drawing/2014/chart" uri="{C3380CC4-5D6E-409C-BE32-E72D297353CC}">
              <c16:uniqueId val="{0000000B-49EE-4D32-A8AB-9BF751819D72}"/>
            </c:ext>
          </c:extLst>
        </c:ser>
        <c:dLbls>
          <c:dLblPos val="outEnd"/>
          <c:showLegendKey val="0"/>
          <c:showVal val="1"/>
          <c:showCatName val="0"/>
          <c:showSerName val="0"/>
          <c:showPercent val="0"/>
          <c:showBubbleSize val="0"/>
        </c:dLbls>
        <c:gapWidth val="100"/>
        <c:overlap val="-24"/>
        <c:axId val="649806159"/>
        <c:axId val="649796079"/>
      </c:barChart>
      <c:catAx>
        <c:axId val="649806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9796079"/>
        <c:crosses val="autoZero"/>
        <c:auto val="1"/>
        <c:lblAlgn val="ctr"/>
        <c:lblOffset val="100"/>
        <c:noMultiLvlLbl val="0"/>
      </c:catAx>
      <c:valAx>
        <c:axId val="649796079"/>
        <c:scaling>
          <c:orientation val="minMax"/>
        </c:scaling>
        <c:delete val="1"/>
        <c:axPos val="l"/>
        <c:numFmt formatCode="0.00" sourceLinked="1"/>
        <c:majorTickMark val="none"/>
        <c:minorTickMark val="none"/>
        <c:tickLblPos val="nextTo"/>
        <c:crossAx val="649806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r>
              <a:rPr lang="en-IN" sz="1650" baseline="0">
                <a:solidFill>
                  <a:schemeClr val="tx1"/>
                </a:solidFill>
              </a:rPr>
              <a:t>% of CPI </a:t>
            </a:r>
            <a:r>
              <a:rPr lang="en-IN" sz="1700" baseline="0">
                <a:solidFill>
                  <a:schemeClr val="tx1"/>
                </a:solidFill>
              </a:rPr>
              <a:t>Contribution</a:t>
            </a:r>
          </a:p>
        </c:rich>
      </c:tx>
      <c:overlay val="0"/>
      <c:spPr>
        <a:solidFill>
          <a:schemeClr val="accent6"/>
        </a:solidFill>
        <a:ln>
          <a:noFill/>
        </a:ln>
        <a:effectLst/>
      </c:spPr>
      <c:txPr>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3C-4E30-99AE-7DD1B3A54F4C}"/>
              </c:ext>
            </c:extLst>
          </c:dPt>
          <c:dPt>
            <c:idx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3C-4E30-99AE-7DD1B3A54F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3C-4E30-99AE-7DD1B3A54F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3C-4E30-99AE-7DD1B3A54F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73C-4E30-99AE-7DD1B3A54F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73C-4E30-99AE-7DD1B3A54F4C}"/>
              </c:ext>
            </c:extLst>
          </c:dPt>
          <c:dLbls>
            <c:dLbl>
              <c:idx val="3"/>
              <c:layout>
                <c:manualLayout>
                  <c:x val="-3.3649595993013828E-2"/>
                  <c:y val="1.05275025090978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3C-4E30-99AE-7DD1B3A54F4C}"/>
                </c:ext>
              </c:extLst>
            </c:dLbl>
            <c:dLbl>
              <c:idx val="4"/>
              <c:layout>
                <c:manualLayout>
                  <c:x val="-8.1771814305373766E-2"/>
                  <c:y val="-8.91730715344256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3C-4E30-99AE-7DD1B3A54F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'CPI Case Study'!$A$20:$A$25</c:f>
              <c:strCache>
                <c:ptCount val="6"/>
                <c:pt idx="0">
                  <c:v>Food </c:v>
                </c:pt>
                <c:pt idx="1">
                  <c:v>Pan, tobacco and intoxicants</c:v>
                </c:pt>
                <c:pt idx="2">
                  <c:v>Clothing &amp; Footwear</c:v>
                </c:pt>
                <c:pt idx="3">
                  <c:v>Housing</c:v>
                </c:pt>
                <c:pt idx="4">
                  <c:v>Fuel and light</c:v>
                </c:pt>
                <c:pt idx="5">
                  <c:v>Miscellaneous</c:v>
                </c:pt>
              </c:strCache>
            </c:strRef>
          </c:cat>
          <c:val>
            <c:numRef>
              <c:f>'CPI Case Study'!$C$20:$C$25</c:f>
              <c:numCache>
                <c:formatCode>0.00</c:formatCode>
                <c:ptCount val="6"/>
                <c:pt idx="0">
                  <c:v>49.626692054947497</c:v>
                </c:pt>
                <c:pt idx="1">
                  <c:v>4.3315174985862264</c:v>
                </c:pt>
                <c:pt idx="2">
                  <c:v>11.824162294107964</c:v>
                </c:pt>
                <c:pt idx="3">
                  <c:v>3.7710187047681769</c:v>
                </c:pt>
                <c:pt idx="4">
                  <c:v>3.9277865666406586</c:v>
                </c:pt>
                <c:pt idx="5">
                  <c:v>26.518822880949482</c:v>
                </c:pt>
              </c:numCache>
            </c:numRef>
          </c:val>
          <c:extLst>
            <c:ext xmlns:c16="http://schemas.microsoft.com/office/drawing/2014/chart" uri="{C3380CC4-5D6E-409C-BE32-E72D297353CC}">
              <c16:uniqueId val="{0000000C-773C-4E30-99AE-7DD1B3A54F4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baseline="0">
                <a:solidFill>
                  <a:schemeClr val="tx1"/>
                </a:solidFill>
              </a:rPr>
              <a:t>Correlation (Mom% growth)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'CPI Case Study'!$D$472:$D$499</c:f>
              <c:numCache>
                <c:formatCode>0.00</c:formatCode>
                <c:ptCount val="28"/>
                <c:pt idx="0">
                  <c:v>-22.244849732603932</c:v>
                </c:pt>
                <c:pt idx="1">
                  <c:v>19.859359456924995</c:v>
                </c:pt>
                <c:pt idx="2">
                  <c:v>-2.2505320844658869E-2</c:v>
                </c:pt>
                <c:pt idx="3">
                  <c:v>-5.4624621368815518</c:v>
                </c:pt>
                <c:pt idx="4">
                  <c:v>-7.8479568424535078</c:v>
                </c:pt>
                <c:pt idx="5">
                  <c:v>-5.5551066204623831</c:v>
                </c:pt>
                <c:pt idx="6">
                  <c:v>15.747535750717947</c:v>
                </c:pt>
                <c:pt idx="7">
                  <c:v>1.2702140324329532</c:v>
                </c:pt>
                <c:pt idx="8">
                  <c:v>-2.972364884924239</c:v>
                </c:pt>
                <c:pt idx="9">
                  <c:v>7.3530445036850063</c:v>
                </c:pt>
                <c:pt idx="10">
                  <c:v>7.1303544099225293</c:v>
                </c:pt>
                <c:pt idx="11">
                  <c:v>-2.0068715128435244</c:v>
                </c:pt>
                <c:pt idx="12">
                  <c:v>-8.64902538353906</c:v>
                </c:pt>
                <c:pt idx="13">
                  <c:v>8.199458614402257</c:v>
                </c:pt>
                <c:pt idx="14">
                  <c:v>13.63831917412133</c:v>
                </c:pt>
                <c:pt idx="15">
                  <c:v>-9.1644341207570772</c:v>
                </c:pt>
                <c:pt idx="16">
                  <c:v>-2.2123600334530478</c:v>
                </c:pt>
                <c:pt idx="17">
                  <c:v>7.3640165554892878</c:v>
                </c:pt>
                <c:pt idx="18">
                  <c:v>-14.483150033379545</c:v>
                </c:pt>
                <c:pt idx="19">
                  <c:v>-4.9044164522039413</c:v>
                </c:pt>
                <c:pt idx="20">
                  <c:v>8.0564022569128131</c:v>
                </c:pt>
                <c:pt idx="21">
                  <c:v>4.8546735901853237</c:v>
                </c:pt>
                <c:pt idx="22">
                  <c:v>3.2332771022824143</c:v>
                </c:pt>
                <c:pt idx="23">
                  <c:v>3.1175920538676714</c:v>
                </c:pt>
                <c:pt idx="24">
                  <c:v>-4.6686529489769786</c:v>
                </c:pt>
                <c:pt idx="25">
                  <c:v>8.5204946345298591</c:v>
                </c:pt>
                <c:pt idx="26">
                  <c:v>-4.4493547822134873</c:v>
                </c:pt>
                <c:pt idx="27">
                  <c:v>3.542288462769652</c:v>
                </c:pt>
              </c:numCache>
            </c:numRef>
          </c:yVal>
          <c:smooth val="0"/>
          <c:extLst>
            <c:ext xmlns:c16="http://schemas.microsoft.com/office/drawing/2014/chart" uri="{C3380CC4-5D6E-409C-BE32-E72D297353CC}">
              <c16:uniqueId val="{00000000-2FEB-49ED-8BB4-2BEA059EB7C1}"/>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'CPI Case Study'!$N$612:$N$639</c:f>
              <c:numCache>
                <c:formatCode>General</c:formatCode>
                <c:ptCount val="28"/>
                <c:pt idx="0">
                  <c:v>2.4374176548089515</c:v>
                </c:pt>
                <c:pt idx="1">
                  <c:v>0.64308681672025725</c:v>
                </c:pt>
                <c:pt idx="2">
                  <c:v>0.70287539936101873</c:v>
                </c:pt>
                <c:pt idx="3">
                  <c:v>1.0786802030456961</c:v>
                </c:pt>
                <c:pt idx="4">
                  <c:v>0.43942247332077122</c:v>
                </c:pt>
                <c:pt idx="5">
                  <c:v>0.56250000000000355</c:v>
                </c:pt>
                <c:pt idx="6">
                  <c:v>1.1187072715972548</c:v>
                </c:pt>
                <c:pt idx="7">
                  <c:v>0</c:v>
                </c:pt>
                <c:pt idx="8">
                  <c:v>0.30731407498463431</c:v>
                </c:pt>
                <c:pt idx="9">
                  <c:v>0.30637254901960786</c:v>
                </c:pt>
                <c:pt idx="10">
                  <c:v>0.30543677458766039</c:v>
                </c:pt>
                <c:pt idx="11">
                  <c:v>6.09013398294901E-2</c:v>
                </c:pt>
                <c:pt idx="12">
                  <c:v>0.2434570906877524</c:v>
                </c:pt>
                <c:pt idx="13">
                  <c:v>0.36429872495447652</c:v>
                </c:pt>
                <c:pt idx="14">
                  <c:v>0.54446460980034916</c:v>
                </c:pt>
                <c:pt idx="15">
                  <c:v>0.5415162454873681</c:v>
                </c:pt>
                <c:pt idx="16">
                  <c:v>0.47875523638540479</c:v>
                </c:pt>
                <c:pt idx="17">
                  <c:v>0.29779630732578916</c:v>
                </c:pt>
                <c:pt idx="18">
                  <c:v>0.23752969121140477</c:v>
                </c:pt>
                <c:pt idx="19">
                  <c:v>0.35545023696682126</c:v>
                </c:pt>
                <c:pt idx="20">
                  <c:v>0.29515938606847697</c:v>
                </c:pt>
                <c:pt idx="21">
                  <c:v>0.29429075927015891</c:v>
                </c:pt>
                <c:pt idx="22">
                  <c:v>0.35211267605633467</c:v>
                </c:pt>
                <c:pt idx="23">
                  <c:v>0.23391812865497411</c:v>
                </c:pt>
                <c:pt idx="24">
                  <c:v>0.52508751458576763</c:v>
                </c:pt>
                <c:pt idx="25">
                  <c:v>0</c:v>
                </c:pt>
                <c:pt idx="26">
                  <c:v>0.34822983168891136</c:v>
                </c:pt>
                <c:pt idx="27">
                  <c:v>0.2891844997108155</c:v>
                </c:pt>
              </c:numCache>
            </c:numRef>
          </c:yVal>
          <c:smooth val="0"/>
          <c:extLst>
            <c:ext xmlns:c16="http://schemas.microsoft.com/office/drawing/2014/chart" uri="{C3380CC4-5D6E-409C-BE32-E72D297353CC}">
              <c16:uniqueId val="{00000001-2FEB-49ED-8BB4-2BEA059EB7C1}"/>
            </c:ext>
          </c:extLst>
        </c:ser>
        <c:dLbls>
          <c:showLegendKey val="0"/>
          <c:showVal val="0"/>
          <c:showCatName val="0"/>
          <c:showSerName val="0"/>
          <c:showPercent val="0"/>
          <c:showBubbleSize val="0"/>
        </c:dLbls>
        <c:axId val="1157539808"/>
        <c:axId val="339929232"/>
      </c:scatterChart>
      <c:valAx>
        <c:axId val="115753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baseline="0">
                    <a:solidFill>
                      <a:schemeClr val="tx1"/>
                    </a:solidFill>
                  </a:rPr>
                  <a:t>Non-Alcoholic beverages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929232"/>
        <c:crosses val="autoZero"/>
        <c:crossBetween val="midCat"/>
      </c:valAx>
      <c:valAx>
        <c:axId val="33992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baseline="0">
                    <a:solidFill>
                      <a:schemeClr val="tx1"/>
                    </a:solidFill>
                  </a:rPr>
                  <a:t>Crude oil</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3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50" b="1" i="0" u="none" strike="noStrike" kern="1200" baseline="0">
                <a:solidFill>
                  <a:schemeClr val="tx1"/>
                </a:solidFill>
                <a:latin typeface="+mn-lt"/>
                <a:ea typeface="+mn-ea"/>
                <a:cs typeface="+mn-cs"/>
              </a:defRPr>
            </a:pPr>
            <a:r>
              <a:rPr lang="en-IN" sz="1750" baseline="0">
                <a:solidFill>
                  <a:schemeClr val="tx1"/>
                </a:solidFill>
              </a:rPr>
              <a:t>Absolute Change</a:t>
            </a:r>
          </a:p>
        </c:rich>
      </c:tx>
      <c:overlay val="0"/>
      <c:spPr>
        <a:solidFill>
          <a:schemeClr val="accent6"/>
        </a:solidFill>
        <a:ln>
          <a:noFill/>
        </a:ln>
        <a:effectLst/>
      </c:spPr>
      <c:txPr>
        <a:bodyPr rot="0" spcFirstLastPara="1" vertOverflow="ellipsis" vert="horz" wrap="square" anchor="ctr" anchorCtr="1"/>
        <a:lstStyle/>
        <a:p>
          <a:pPr>
            <a:defRPr sz="175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4010605504266693"/>
          <c:y val="0.16960139850664727"/>
          <c:w val="0.85972324391038046"/>
          <c:h val="0.78921296296296295"/>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3D-4A12-91B9-60AE1B52797A}"/>
              </c:ext>
            </c:extLst>
          </c:dPt>
          <c:dLbls>
            <c:dLbl>
              <c:idx val="1"/>
              <c:layout>
                <c:manualLayout>
                  <c:x val="0"/>
                  <c:y val="9.66666666666666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3D-4A12-91B9-60AE1B52797A}"/>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Study'!$A$194:$A$206</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'CPI Case Study'!$B$194:$B$206</c:f>
              <c:numCache>
                <c:formatCode>0.00</c:formatCode>
                <c:ptCount val="13"/>
                <c:pt idx="0">
                  <c:v>19.299999999999955</c:v>
                </c:pt>
                <c:pt idx="1">
                  <c:v>-2.5666666666666345</c:v>
                </c:pt>
                <c:pt idx="2">
                  <c:v>11</c:v>
                </c:pt>
                <c:pt idx="3">
                  <c:v>14.533333333333331</c:v>
                </c:pt>
                <c:pt idx="4">
                  <c:v>-31.366666666666646</c:v>
                </c:pt>
                <c:pt idx="5">
                  <c:v>1.1666666666666856</c:v>
                </c:pt>
                <c:pt idx="6">
                  <c:v>-14.599999999999994</c:v>
                </c:pt>
                <c:pt idx="7">
                  <c:v>11.199999999999989</c:v>
                </c:pt>
                <c:pt idx="8">
                  <c:v>3</c:v>
                </c:pt>
                <c:pt idx="9">
                  <c:v>32.666666666666686</c:v>
                </c:pt>
                <c:pt idx="10">
                  <c:v>6.4000000000000057</c:v>
                </c:pt>
                <c:pt idx="11">
                  <c:v>11.733333333333348</c:v>
                </c:pt>
                <c:pt idx="12">
                  <c:v>5.7999999999999829</c:v>
                </c:pt>
              </c:numCache>
            </c:numRef>
          </c:val>
          <c:extLst>
            <c:ext xmlns:c16="http://schemas.microsoft.com/office/drawing/2014/chart" uri="{C3380CC4-5D6E-409C-BE32-E72D297353CC}">
              <c16:uniqueId val="{00000003-DF3D-4A12-91B9-60AE1B52797A}"/>
            </c:ext>
          </c:extLst>
        </c:ser>
        <c:dLbls>
          <c:dLblPos val="outEnd"/>
          <c:showLegendKey val="0"/>
          <c:showVal val="1"/>
          <c:showCatName val="0"/>
          <c:showSerName val="0"/>
          <c:showPercent val="0"/>
          <c:showBubbleSize val="0"/>
        </c:dLbls>
        <c:gapWidth val="100"/>
        <c:axId val="824809167"/>
        <c:axId val="824816847"/>
      </c:barChart>
      <c:catAx>
        <c:axId val="82480916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i="0" baseline="0">
                    <a:solidFill>
                      <a:schemeClr val="tx1"/>
                    </a:solidFill>
                  </a:rPr>
                  <a:t>Food Categores</a:t>
                </a:r>
              </a:p>
            </c:rich>
          </c:tx>
          <c:layout>
            <c:manualLayout>
              <c:xMode val="edge"/>
              <c:yMode val="edge"/>
              <c:x val="0.37778990224747566"/>
              <c:y val="0.9232143053445379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50" b="1" i="0" u="none" strike="noStrike" kern="1200" baseline="0">
                <a:solidFill>
                  <a:schemeClr val="tx1"/>
                </a:solidFill>
                <a:latin typeface="+mn-lt"/>
                <a:ea typeface="+mn-ea"/>
                <a:cs typeface="+mn-cs"/>
              </a:defRPr>
            </a:pPr>
            <a:endParaRPr lang="en-US"/>
          </a:p>
        </c:txPr>
        <c:crossAx val="824816847"/>
        <c:crosses val="autoZero"/>
        <c:auto val="1"/>
        <c:lblAlgn val="ctr"/>
        <c:lblOffset val="100"/>
        <c:noMultiLvlLbl val="0"/>
      </c:catAx>
      <c:valAx>
        <c:axId val="824816847"/>
        <c:scaling>
          <c:orientation val="minMax"/>
        </c:scaling>
        <c:delete val="1"/>
        <c:axPos val="b"/>
        <c:numFmt formatCode="0.00" sourceLinked="1"/>
        <c:majorTickMark val="none"/>
        <c:minorTickMark val="none"/>
        <c:tickLblPos val="nextTo"/>
        <c:crossAx val="82480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baseline="0">
                <a:solidFill>
                  <a:schemeClr val="tx1"/>
                </a:solidFill>
              </a:rPr>
              <a:t>Impact of Covid on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3.0780494249823487E-2"/>
          <c:y val="9.4820592971360043E-2"/>
          <c:w val="0.96921946783830992"/>
          <c:h val="0.79331727898171023"/>
        </c:manualLayout>
      </c:layout>
      <c:barChart>
        <c:barDir val="col"/>
        <c:grouping val="clustered"/>
        <c:varyColors val="0"/>
        <c:ser>
          <c:idx val="0"/>
          <c:order val="0"/>
          <c:tx>
            <c:strRef>
              <c:f>'CPI Case Study'!$A$427</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E7-4FB6-A46F-BB537E9A8C26}"/>
              </c:ext>
            </c:extLst>
          </c:dPt>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E7-4FB6-A46F-BB537E9A8C26}"/>
              </c:ext>
            </c:extLst>
          </c:dPt>
          <c:dPt>
            <c:idx val="2"/>
            <c:invertIfNegative val="0"/>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E7-4FB6-A46F-BB537E9A8C26}"/>
              </c:ext>
            </c:extLst>
          </c:dPt>
          <c:dPt>
            <c:idx val="3"/>
            <c:invertIfNegative val="0"/>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Study'!$B$427:$E$427</c:f>
            </c:numRef>
          </c:val>
          <c:extLst>
            <c:ext xmlns:c16="http://schemas.microsoft.com/office/drawing/2014/chart" uri="{C3380CC4-5D6E-409C-BE32-E72D297353CC}">
              <c16:uniqueId val="{00000008-4FE7-4FB6-A46F-BB537E9A8C26}"/>
            </c:ext>
          </c:extLst>
        </c:ser>
        <c:ser>
          <c:idx val="1"/>
          <c:order val="1"/>
          <c:tx>
            <c:strRef>
              <c:f>'CPI Case Study'!$A$428</c:f>
              <c:strCache>
                <c:ptCount val="1"/>
                <c:pt idx="0">
                  <c:v>Housing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FE7-4FB6-A46F-BB537E9A8C26}"/>
              </c:ext>
            </c:extLst>
          </c:dPt>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FE7-4FB6-A46F-BB537E9A8C26}"/>
              </c:ext>
            </c:extLst>
          </c:dPt>
          <c:dPt>
            <c:idx val="2"/>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4FE7-4FB6-A46F-BB537E9A8C26}"/>
              </c:ext>
            </c:extLst>
          </c:dPt>
          <c:dPt>
            <c:idx val="3"/>
            <c:invertIfNegative val="0"/>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Study'!$B$428:$E$428</c:f>
            </c:numRef>
          </c:val>
          <c:extLst>
            <c:ext xmlns:c16="http://schemas.microsoft.com/office/drawing/2014/chart" uri="{C3380CC4-5D6E-409C-BE32-E72D297353CC}">
              <c16:uniqueId val="{00000011-4FE7-4FB6-A46F-BB537E9A8C26}"/>
            </c:ext>
          </c:extLst>
        </c:ser>
        <c:ser>
          <c:idx val="2"/>
          <c:order val="2"/>
          <c:tx>
            <c:strRef>
              <c:f>'CPI Case Study'!$A$429</c:f>
              <c:strCache>
                <c:ptCount val="1"/>
                <c:pt idx="0">
                  <c:v>Fuel and light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FE7-4FB6-A46F-BB537E9A8C26}"/>
              </c:ext>
            </c:extLst>
          </c:dPt>
          <c:dPt>
            <c:idx val="3"/>
            <c:invertIfNegative val="0"/>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Study'!$B$429:$E$429</c:f>
              <c:numCache>
                <c:formatCode>0.00</c:formatCode>
                <c:ptCount val="4"/>
                <c:pt idx="0">
                  <c:v>2.350570852921424</c:v>
                </c:pt>
                <c:pt idx="1">
                  <c:v>6.5855404438081733</c:v>
                </c:pt>
                <c:pt idx="2">
                  <c:v>4.4325050369375383</c:v>
                </c:pt>
                <c:pt idx="3">
                  <c:v>7.524115755627002</c:v>
                </c:pt>
              </c:numCache>
            </c:numRef>
          </c:val>
          <c:extLst>
            <c:ext xmlns:c16="http://schemas.microsoft.com/office/drawing/2014/chart" uri="{C3380CC4-5D6E-409C-BE32-E72D297353CC}">
              <c16:uniqueId val="{00000016-4FE7-4FB6-A46F-BB537E9A8C26}"/>
            </c:ext>
          </c:extLst>
        </c:ser>
        <c:ser>
          <c:idx val="3"/>
          <c:order val="3"/>
          <c:tx>
            <c:strRef>
              <c:f>'CPI Case Study'!$A$430</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4FE7-4FB6-A46F-BB537E9A8C26}"/>
              </c:ext>
            </c:extLst>
          </c:dPt>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4FE7-4FB6-A46F-BB537E9A8C26}"/>
              </c:ext>
            </c:extLst>
          </c:dPt>
          <c:dPt>
            <c:idx val="2"/>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4FE7-4FB6-A46F-BB537E9A8C26}"/>
              </c:ext>
            </c:extLst>
          </c:dPt>
          <c:dPt>
            <c:idx val="3"/>
            <c:invertIfNegative val="0"/>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Study'!$B$430:$E$430</c:f>
            </c:numRef>
          </c:val>
          <c:extLst>
            <c:ext xmlns:c16="http://schemas.microsoft.com/office/drawing/2014/chart" uri="{C3380CC4-5D6E-409C-BE32-E72D297353CC}">
              <c16:uniqueId val="{0000001F-4FE7-4FB6-A46F-BB537E9A8C26}"/>
            </c:ext>
          </c:extLst>
        </c:ser>
        <c:ser>
          <c:idx val="4"/>
          <c:order val="4"/>
          <c:tx>
            <c:strRef>
              <c:f>'CPI Case Study'!$A$431</c:f>
              <c:strCache>
                <c:ptCount val="1"/>
                <c:pt idx="0">
                  <c:v>Personal care and effects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FE7-4FB6-A46F-BB537E9A8C26}"/>
              </c:ext>
            </c:extLst>
          </c:dPt>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FE7-4FB6-A46F-BB537E9A8C26}"/>
              </c:ext>
            </c:extLst>
          </c:dPt>
          <c:dPt>
            <c:idx val="2"/>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FE7-4FB6-A46F-BB537E9A8C26}"/>
              </c:ext>
            </c:extLst>
          </c:dPt>
          <c:dPt>
            <c:idx val="3"/>
            <c:invertIfNegative val="0"/>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Study'!$B$431:$E$431</c:f>
            </c:numRef>
          </c:val>
          <c:extLst>
            <c:ext xmlns:c16="http://schemas.microsoft.com/office/drawing/2014/chart" uri="{C3380CC4-5D6E-409C-BE32-E72D297353CC}">
              <c16:uniqueId val="{00000028-4FE7-4FB6-A46F-BB537E9A8C26}"/>
            </c:ext>
          </c:extLst>
        </c:ser>
        <c:dLbls>
          <c:dLblPos val="outEnd"/>
          <c:showLegendKey val="0"/>
          <c:showVal val="1"/>
          <c:showCatName val="0"/>
          <c:showSerName val="0"/>
          <c:showPercent val="0"/>
          <c:showBubbleSize val="0"/>
        </c:dLbls>
        <c:gapWidth val="100"/>
        <c:overlap val="-24"/>
        <c:axId val="576990543"/>
        <c:axId val="576985743"/>
      </c:barChart>
      <c:catAx>
        <c:axId val="576990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576985743"/>
        <c:crosses val="autoZero"/>
        <c:auto val="1"/>
        <c:lblAlgn val="ctr"/>
        <c:lblOffset val="100"/>
        <c:noMultiLvlLbl val="0"/>
      </c:catAx>
      <c:valAx>
        <c:axId val="576985743"/>
        <c:scaling>
          <c:orientation val="minMax"/>
        </c:scaling>
        <c:delete val="1"/>
        <c:axPos val="l"/>
        <c:numFmt formatCode="0.00" sourceLinked="1"/>
        <c:majorTickMark val="none"/>
        <c:minorTickMark val="none"/>
        <c:tickLblPos val="nextTo"/>
        <c:crossAx val="576990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336176</xdr:colOff>
      <xdr:row>17</xdr:row>
      <xdr:rowOff>174312</xdr:rowOff>
    </xdr:from>
    <xdr:to>
      <xdr:col>10</xdr:col>
      <xdr:colOff>249020</xdr:colOff>
      <xdr:row>35</xdr:row>
      <xdr:rowOff>174313</xdr:rowOff>
    </xdr:to>
    <xdr:graphicFrame macro="">
      <xdr:nvGraphicFramePr>
        <xdr:cNvPr id="3" name="Chart 2">
          <a:extLst>
            <a:ext uri="{FF2B5EF4-FFF2-40B4-BE49-F238E27FC236}">
              <a16:creationId xmlns:a16="http://schemas.microsoft.com/office/drawing/2014/main" id="{540D5674-BF80-ADD3-8DB9-346DC60AB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605219</xdr:colOff>
      <xdr:row>118</xdr:row>
      <xdr:rowOff>162696</xdr:rowOff>
    </xdr:from>
    <xdr:to>
      <xdr:col>11</xdr:col>
      <xdr:colOff>193327</xdr:colOff>
      <xdr:row>146</xdr:row>
      <xdr:rowOff>60895</xdr:rowOff>
    </xdr:to>
    <xdr:graphicFrame macro="">
      <xdr:nvGraphicFramePr>
        <xdr:cNvPr id="6" name="Chart 5">
          <a:extLst>
            <a:ext uri="{FF2B5EF4-FFF2-40B4-BE49-F238E27FC236}">
              <a16:creationId xmlns:a16="http://schemas.microsoft.com/office/drawing/2014/main" id="{672E3EC2-D4C8-D3AA-73C0-3416CB1D8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703649</xdr:colOff>
      <xdr:row>191</xdr:row>
      <xdr:rowOff>34324</xdr:rowOff>
    </xdr:from>
    <xdr:to>
      <xdr:col>9</xdr:col>
      <xdr:colOff>451185</xdr:colOff>
      <xdr:row>210</xdr:row>
      <xdr:rowOff>51485</xdr:rowOff>
    </xdr:to>
    <xdr:graphicFrame macro="">
      <xdr:nvGraphicFramePr>
        <xdr:cNvPr id="9" name="Chart 8">
          <a:extLst>
            <a:ext uri="{FF2B5EF4-FFF2-40B4-BE49-F238E27FC236}">
              <a16:creationId xmlns:a16="http://schemas.microsoft.com/office/drawing/2014/main" id="{ADCE65A5-1BED-4865-4067-E75105884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642207</xdr:colOff>
      <xdr:row>436</xdr:row>
      <xdr:rowOff>23519</xdr:rowOff>
    </xdr:from>
    <xdr:to>
      <xdr:col>8</xdr:col>
      <xdr:colOff>1184226</xdr:colOff>
      <xdr:row>460</xdr:row>
      <xdr:rowOff>172932</xdr:rowOff>
    </xdr:to>
    <xdr:graphicFrame macro="">
      <xdr:nvGraphicFramePr>
        <xdr:cNvPr id="15" name="Chart 14">
          <a:extLst>
            <a:ext uri="{FF2B5EF4-FFF2-40B4-BE49-F238E27FC236}">
              <a16:creationId xmlns:a16="http://schemas.microsoft.com/office/drawing/2014/main" id="{B8359270-1F09-5EDD-2943-75DDDCF6D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301626</xdr:colOff>
      <xdr:row>512</xdr:row>
      <xdr:rowOff>22678</xdr:rowOff>
    </xdr:from>
    <xdr:to>
      <xdr:col>11</xdr:col>
      <xdr:colOff>1814285</xdr:colOff>
      <xdr:row>553</xdr:row>
      <xdr:rowOff>136071</xdr:rowOff>
    </xdr:to>
    <xdr:graphicFrame macro="">
      <xdr:nvGraphicFramePr>
        <xdr:cNvPr id="16" name="Chart 15">
          <a:extLst>
            <a:ext uri="{FF2B5EF4-FFF2-40B4-BE49-F238E27FC236}">
              <a16:creationId xmlns:a16="http://schemas.microsoft.com/office/drawing/2014/main" id="{AAD69D45-EAE9-3288-5A3A-8B44AE656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655008</xdr:colOff>
      <xdr:row>532</xdr:row>
      <xdr:rowOff>80776</xdr:rowOff>
    </xdr:from>
    <xdr:to>
      <xdr:col>3</xdr:col>
      <xdr:colOff>1707029</xdr:colOff>
      <xdr:row>548</xdr:row>
      <xdr:rowOff>111871</xdr:rowOff>
    </xdr:to>
    <mc:AlternateContent xmlns:mc="http://schemas.openxmlformats.org/markup-compatibility/2006">
      <mc:Choice xmlns:sle15="http://schemas.microsoft.com/office/drawing/2012/slicer" Requires="sle15">
        <xdr:graphicFrame macro="">
          <xdr:nvGraphicFramePr>
            <xdr:cNvPr id="17" name="Years 1">
              <a:extLst>
                <a:ext uri="{FF2B5EF4-FFF2-40B4-BE49-F238E27FC236}">
                  <a16:creationId xmlns:a16="http://schemas.microsoft.com/office/drawing/2014/main" id="{613802A0-1618-1720-9EE8-EADE0269346B}"/>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3797720" y="94857217"/>
              <a:ext cx="1880750" cy="149482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2103438</xdr:colOff>
      <xdr:row>309</xdr:row>
      <xdr:rowOff>137298</xdr:rowOff>
    </xdr:from>
    <xdr:to>
      <xdr:col>10</xdr:col>
      <xdr:colOff>984250</xdr:colOff>
      <xdr:row>323</xdr:row>
      <xdr:rowOff>68649</xdr:rowOff>
    </xdr:to>
    <xdr:graphicFrame macro="">
      <xdr:nvGraphicFramePr>
        <xdr:cNvPr id="27" name="Chart 26">
          <a:extLst>
            <a:ext uri="{FF2B5EF4-FFF2-40B4-BE49-F238E27FC236}">
              <a16:creationId xmlns:a16="http://schemas.microsoft.com/office/drawing/2014/main" id="{F2A85532-EB24-FEAA-4AA4-90A809458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96731</xdr:colOff>
      <xdr:row>169</xdr:row>
      <xdr:rowOff>177863</xdr:rowOff>
    </xdr:from>
    <xdr:to>
      <xdr:col>12</xdr:col>
      <xdr:colOff>1504029</xdr:colOff>
      <xdr:row>186</xdr:row>
      <xdr:rowOff>41735</xdr:rowOff>
    </xdr:to>
    <xdr:graphicFrame macro="">
      <xdr:nvGraphicFramePr>
        <xdr:cNvPr id="42" name="Chart 41">
          <a:extLst>
            <a:ext uri="{FF2B5EF4-FFF2-40B4-BE49-F238E27FC236}">
              <a16:creationId xmlns:a16="http://schemas.microsoft.com/office/drawing/2014/main" id="{C1172A16-CC51-451C-A70D-4323395BE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200042</xdr:colOff>
      <xdr:row>129</xdr:row>
      <xdr:rowOff>44631</xdr:rowOff>
    </xdr:from>
    <xdr:to>
      <xdr:col>3</xdr:col>
      <xdr:colOff>1224891</xdr:colOff>
      <xdr:row>142</xdr:row>
      <xdr:rowOff>128929</xdr:rowOff>
    </xdr:to>
    <mc:AlternateContent xmlns:mc="http://schemas.openxmlformats.org/markup-compatibility/2006">
      <mc:Choice xmlns:sle15="http://schemas.microsoft.com/office/drawing/2012/slicer" Requires="sle15">
        <xdr:graphicFrame macro="">
          <xdr:nvGraphicFramePr>
            <xdr:cNvPr id="4" name="Year">
              <a:extLst>
                <a:ext uri="{FF2B5EF4-FFF2-40B4-BE49-F238E27FC236}">
                  <a16:creationId xmlns:a16="http://schemas.microsoft.com/office/drawing/2014/main" id="{89359FA6-9412-9F12-E6F6-7AADF261E0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342754" y="23647258"/>
              <a:ext cx="1853578" cy="246285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305783</xdr:colOff>
      <xdr:row>167</xdr:row>
      <xdr:rowOff>169668</xdr:rowOff>
    </xdr:from>
    <xdr:to>
      <xdr:col>6</xdr:col>
      <xdr:colOff>2138473</xdr:colOff>
      <xdr:row>189</xdr:row>
      <xdr:rowOff>55805</xdr:rowOff>
    </xdr:to>
    <mc:AlternateContent xmlns:mc="http://schemas.openxmlformats.org/markup-compatibility/2006">
      <mc:Choice xmlns:sle15="http://schemas.microsoft.com/office/drawing/2012/slicer" Requires="sle15">
        <xdr:graphicFrame macro="">
          <xdr:nvGraphicFramePr>
            <xdr:cNvPr id="11" name="Year 1">
              <a:extLst>
                <a:ext uri="{FF2B5EF4-FFF2-40B4-BE49-F238E27FC236}">
                  <a16:creationId xmlns:a16="http://schemas.microsoft.com/office/drawing/2014/main" id="{5BF8EBA9-1CCE-921A-1AE0-09B3BF6A64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894427" y="30725007"/>
              <a:ext cx="1832690" cy="244766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1280807</xdr:colOff>
      <xdr:row>647</xdr:row>
      <xdr:rowOff>114570</xdr:rowOff>
    </xdr:from>
    <xdr:to>
      <xdr:col>6</xdr:col>
      <xdr:colOff>2013085</xdr:colOff>
      <xdr:row>665</xdr:row>
      <xdr:rowOff>27021</xdr:rowOff>
    </xdr:to>
    <xdr:graphicFrame macro="">
      <xdr:nvGraphicFramePr>
        <xdr:cNvPr id="21" name="Chart 20">
          <a:extLst>
            <a:ext uri="{FF2B5EF4-FFF2-40B4-BE49-F238E27FC236}">
              <a16:creationId xmlns:a16="http://schemas.microsoft.com/office/drawing/2014/main" id="{BAECB498-6F83-86F7-E3C5-04247486D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9</xdr:col>
      <xdr:colOff>1361210</xdr:colOff>
      <xdr:row>436</xdr:row>
      <xdr:rowOff>28094</xdr:rowOff>
    </xdr:from>
    <xdr:to>
      <xdr:col>10</xdr:col>
      <xdr:colOff>880919</xdr:colOff>
      <xdr:row>449</xdr:row>
      <xdr:rowOff>57054</xdr:rowOff>
    </xdr:to>
    <mc:AlternateContent xmlns:mc="http://schemas.openxmlformats.org/markup-compatibility/2006">
      <mc:Choice xmlns:sle15="http://schemas.microsoft.com/office/drawing/2012/slicer" Requires="sle15">
        <xdr:graphicFrame macro="">
          <xdr:nvGraphicFramePr>
            <xdr:cNvPr id="24" name="Categories">
              <a:extLst>
                <a:ext uri="{FF2B5EF4-FFF2-40B4-BE49-F238E27FC236}">
                  <a16:creationId xmlns:a16="http://schemas.microsoft.com/office/drawing/2014/main" id="{804D62C3-1E80-936C-182E-D0107FE5CB53}"/>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16784176" y="77605721"/>
              <a:ext cx="1822929" cy="24075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250581</xdr:colOff>
      <xdr:row>1</xdr:row>
      <xdr:rowOff>56684</xdr:rowOff>
    </xdr:from>
    <xdr:to>
      <xdr:col>18</xdr:col>
      <xdr:colOff>2204883</xdr:colOff>
      <xdr:row>15</xdr:row>
      <xdr:rowOff>186405</xdr:rowOff>
    </xdr:to>
    <xdr:graphicFrame macro="">
      <xdr:nvGraphicFramePr>
        <xdr:cNvPr id="11" name="Chart 10">
          <a:extLst>
            <a:ext uri="{FF2B5EF4-FFF2-40B4-BE49-F238E27FC236}">
              <a16:creationId xmlns:a16="http://schemas.microsoft.com/office/drawing/2014/main" id="{CCD9A38A-A313-4583-9201-4E3EC2BB4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1247726</xdr:colOff>
      <xdr:row>32</xdr:row>
      <xdr:rowOff>58246</xdr:rowOff>
    </xdr:from>
    <xdr:to>
      <xdr:col>23</xdr:col>
      <xdr:colOff>347753</xdr:colOff>
      <xdr:row>44</xdr:row>
      <xdr:rowOff>47019</xdr:rowOff>
    </xdr:to>
    <xdr:graphicFrame macro="">
      <xdr:nvGraphicFramePr>
        <xdr:cNvPr id="16" name="Chart 15">
          <a:extLst>
            <a:ext uri="{FF2B5EF4-FFF2-40B4-BE49-F238E27FC236}">
              <a16:creationId xmlns:a16="http://schemas.microsoft.com/office/drawing/2014/main" id="{1232F20A-FEED-43C8-BF27-6C1241539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1223828</xdr:colOff>
      <xdr:row>23</xdr:row>
      <xdr:rowOff>125037</xdr:rowOff>
    </xdr:from>
    <xdr:to>
      <xdr:col>19</xdr:col>
      <xdr:colOff>445536</xdr:colOff>
      <xdr:row>31</xdr:row>
      <xdr:rowOff>98342</xdr:rowOff>
    </xdr:to>
    <mc:AlternateContent xmlns:mc="http://schemas.openxmlformats.org/markup-compatibility/2006">
      <mc:Choice xmlns:sle15="http://schemas.microsoft.com/office/drawing/2012/slicer" Requires="sle15">
        <xdr:graphicFrame macro="">
          <xdr:nvGraphicFramePr>
            <xdr:cNvPr id="17" name="Years 3">
              <a:extLst>
                <a:ext uri="{FF2B5EF4-FFF2-40B4-BE49-F238E27FC236}">
                  <a16:creationId xmlns:a16="http://schemas.microsoft.com/office/drawing/2014/main" id="{BFA2938E-379D-4297-B87F-655A3149DC9F}"/>
                </a:ext>
              </a:extLst>
            </xdr:cNvPr>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dr:sp macro="" textlink="">
          <xdr:nvSpPr>
            <xdr:cNvPr id="0" name=""/>
            <xdr:cNvSpPr>
              <a:spLocks noTextEdit="1"/>
            </xdr:cNvSpPr>
          </xdr:nvSpPr>
          <xdr:spPr>
            <a:xfrm>
              <a:off x="19859698" y="4859928"/>
              <a:ext cx="1816925" cy="140895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561318</xdr:colOff>
      <xdr:row>1</xdr:row>
      <xdr:rowOff>40370</xdr:rowOff>
    </xdr:from>
    <xdr:to>
      <xdr:col>10</xdr:col>
      <xdr:colOff>180639</xdr:colOff>
      <xdr:row>16</xdr:row>
      <xdr:rowOff>158822</xdr:rowOff>
    </xdr:to>
    <xdr:graphicFrame macro="">
      <xdr:nvGraphicFramePr>
        <xdr:cNvPr id="5" name="Chart 4">
          <a:extLst>
            <a:ext uri="{FF2B5EF4-FFF2-40B4-BE49-F238E27FC236}">
              <a16:creationId xmlns:a16="http://schemas.microsoft.com/office/drawing/2014/main" id="{C7F83EFA-66A5-4419-98D4-9BDA7D07C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371971</xdr:colOff>
      <xdr:row>15</xdr:row>
      <xdr:rowOff>16788</xdr:rowOff>
    </xdr:from>
    <xdr:to>
      <xdr:col>21</xdr:col>
      <xdr:colOff>2634765</xdr:colOff>
      <xdr:row>30</xdr:row>
      <xdr:rowOff>127596</xdr:rowOff>
    </xdr:to>
    <xdr:graphicFrame macro="">
      <xdr:nvGraphicFramePr>
        <xdr:cNvPr id="22" name="Chart 21">
          <a:extLst>
            <a:ext uri="{FF2B5EF4-FFF2-40B4-BE49-F238E27FC236}">
              <a16:creationId xmlns:a16="http://schemas.microsoft.com/office/drawing/2014/main" id="{973792F6-5526-4F60-BAE4-A1C4ADE2E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68649</xdr:colOff>
      <xdr:row>20</xdr:row>
      <xdr:rowOff>120133</xdr:rowOff>
    </xdr:from>
    <xdr:to>
      <xdr:col>5</xdr:col>
      <xdr:colOff>429055</xdr:colOff>
      <xdr:row>35</xdr:row>
      <xdr:rowOff>34323</xdr:rowOff>
    </xdr:to>
    <xdr:graphicFrame macro="">
      <xdr:nvGraphicFramePr>
        <xdr:cNvPr id="23" name="Chart 22">
          <a:extLst>
            <a:ext uri="{FF2B5EF4-FFF2-40B4-BE49-F238E27FC236}">
              <a16:creationId xmlns:a16="http://schemas.microsoft.com/office/drawing/2014/main" id="{CA445BB9-9592-4757-BCC0-437E35471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108414</xdr:colOff>
      <xdr:row>18</xdr:row>
      <xdr:rowOff>139391</xdr:rowOff>
    </xdr:from>
    <xdr:to>
      <xdr:col>9</xdr:col>
      <xdr:colOff>1937214</xdr:colOff>
      <xdr:row>30</xdr:row>
      <xdr:rowOff>15488</xdr:rowOff>
    </xdr:to>
    <mc:AlternateContent xmlns:mc="http://schemas.openxmlformats.org/markup-compatibility/2006">
      <mc:Choice xmlns:sle15="http://schemas.microsoft.com/office/drawing/2012/slicer" Requires="sle15">
        <xdr:graphicFrame macro="">
          <xdr:nvGraphicFramePr>
            <xdr:cNvPr id="24" name="Categories 1">
              <a:extLst>
                <a:ext uri="{FF2B5EF4-FFF2-40B4-BE49-F238E27FC236}">
                  <a16:creationId xmlns:a16="http://schemas.microsoft.com/office/drawing/2014/main" id="{E5DCC445-5017-42D4-BFCB-1DF34D4358BC}"/>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dr:sp macro="" textlink="">
          <xdr:nvSpPr>
            <xdr:cNvPr id="0" name=""/>
            <xdr:cNvSpPr>
              <a:spLocks noTextEdit="1"/>
            </xdr:cNvSpPr>
          </xdr:nvSpPr>
          <xdr:spPr>
            <a:xfrm>
              <a:off x="10282218" y="3866565"/>
              <a:ext cx="1828800" cy="214001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387195</xdr:colOff>
      <xdr:row>16</xdr:row>
      <xdr:rowOff>139391</xdr:rowOff>
    </xdr:from>
    <xdr:to>
      <xdr:col>17</xdr:col>
      <xdr:colOff>342595</xdr:colOff>
      <xdr:row>33</xdr:row>
      <xdr:rowOff>0</xdr:rowOff>
    </xdr:to>
    <xdr:graphicFrame macro="">
      <xdr:nvGraphicFramePr>
        <xdr:cNvPr id="25" name="Chart 24">
          <a:extLst>
            <a:ext uri="{FF2B5EF4-FFF2-40B4-BE49-F238E27FC236}">
              <a16:creationId xmlns:a16="http://schemas.microsoft.com/office/drawing/2014/main" id="{CB7E6A1D-BBE3-4F2C-8466-F2213C173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7557288C-04EA-4AE6-9DDA-0C2C1EC927CE}" sourceName="Years">
  <extLst>
    <x:ext xmlns:x15="http://schemas.microsoft.com/office/spreadsheetml/2010/11/main" uri="{2F2917AC-EB37-4324-AD4E-5DD8C200BD13}">
      <x15:tableSlicerCache tableId="7"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8800F3-52CF-4483-99A8-82C8FEF95D6B}" sourceName="Year">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88053D0-4161-4FBB-8597-78C8934B0699}" sourceName="Year">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7E4B69B6-1B5E-43B4-BEE5-783AC15F4267}" sourceName="Categories">
  <extLst>
    <x:ext xmlns:x15="http://schemas.microsoft.com/office/spreadsheetml/2010/11/main" uri="{2F2917AC-EB37-4324-AD4E-5DD8C200BD13}">
      <x15:tableSlicerCache tableId="2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734B64C-E125-4AC3-85FF-7E2C335B880B}" cache="Slicer_Years1" caption="Years" rowHeight="241300"/>
  <slicer name="Year" xr10:uid="{78CEC2BF-84E2-4C82-A017-2893668A3DC0}" cache="Slicer_Year" caption="Year" rowHeight="241300"/>
  <slicer name="Year 1" xr10:uid="{34FA0BA0-09DF-4DEB-8FFD-9EC6B2C4CDC1}" cache="Slicer_Year1" caption="Year" rowHeight="241300"/>
  <slicer name="Categories" xr10:uid="{DA9E3266-2806-4872-B6F9-5C6EA51858BF}" cache="Slicer_Categories" caption="Categori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3" xr10:uid="{C3ED64EF-1B3C-4FFB-9085-C31B48335D0A}" cache="Slicer_Years1" caption="Years" rowHeight="241300"/>
  <slicer name="Categories 1" xr10:uid="{D88AAF36-4CD4-4481-917A-30182B89DA33}" cache="Slicer_Categories" caption="Categori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72046E-3EC5-4398-962E-FA13987021D4}" name="Table2" displayName="Table2" ref="A505:M508" totalsRowShown="0">
  <autoFilter ref="A505:M508" xr:uid="{4E72046E-3EC5-4398-962E-FA13987021D4}">
    <filterColumn colId="0">
      <filters>
        <filter val="2022"/>
      </filters>
    </filterColumn>
  </autoFilter>
  <tableColumns count="13">
    <tableColumn id="1" xr3:uid="{A890E782-2BBF-4995-86ED-DEA630B692DD}" name="Years"/>
    <tableColumn id="2" xr3:uid="{1D84588B-4354-49E6-85A4-111A9962E6BD}" name="January" dataDxfId="91"/>
    <tableColumn id="3" xr3:uid="{124F322E-4384-48FE-9BC9-EEFD794CB72B}" name="February" dataDxfId="90"/>
    <tableColumn id="4" xr3:uid="{0B697C07-DA15-4D55-90C9-6702625AB8C9}" name="March" dataDxfId="89"/>
    <tableColumn id="5" xr3:uid="{ABD2AD4E-A2E4-4B68-9BFC-6E3CC24C3A90}" name="April" dataDxfId="88"/>
    <tableColumn id="6" xr3:uid="{B268CF9F-59AB-4485-9195-0DF7FD8C8FBD}" name="May" dataDxfId="87"/>
    <tableColumn id="7" xr3:uid="{DD783A73-B7A8-4406-A330-25220C28B9BD}" name="June" dataDxfId="86"/>
    <tableColumn id="8" xr3:uid="{FD61D076-2F49-4764-B6D9-121E4E9B250C}" name="July" dataDxfId="85"/>
    <tableColumn id="9" xr3:uid="{933CB6A1-927C-43A4-AA8B-0013852A1590}" name="August" dataDxfId="84"/>
    <tableColumn id="10" xr3:uid="{3F3CF82A-6DBD-4E00-B601-D436AE6B21BF}" name="September" dataDxfId="83"/>
    <tableColumn id="11" xr3:uid="{F7AC4E75-8B26-4CBA-96E4-C47DE4435428}" name="October" dataDxfId="82"/>
    <tableColumn id="12" xr3:uid="{019BEDF1-1230-4285-B658-9EC1F14449ED}" name="November" dataDxfId="81"/>
    <tableColumn id="13" xr3:uid="{4605C658-2E96-4039-9651-0273E3FC99BC}" name="December" dataDxfId="8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7BFE0E-363B-4491-9996-8690CC6C50DD}" name="Table11" displayName="Table11" ref="A539:Y546" totalsRowShown="0">
  <autoFilter ref="A539:Y546" xr:uid="{997BFE0E-363B-4491-9996-8690CC6C50DD}"/>
  <tableColumns count="25">
    <tableColumn id="1" xr3:uid="{6EC81B1C-C45D-4A2B-AFAB-FF17B6515C8A}" name="Years"/>
    <tableColumn id="2" xr3:uid="{D53B2533-9555-4DDA-A1CD-6EC2A457555D}" name="2021" dataDxfId="79"/>
    <tableColumn id="3" xr3:uid="{29AA0780-1DCD-4A53-BF3D-66BB8B0269E6}" name="Column1" dataDxfId="78"/>
    <tableColumn id="4" xr3:uid="{454DC342-4442-458A-9BB6-EA2AE48A6075}" name="Column2" dataDxfId="77"/>
    <tableColumn id="5" xr3:uid="{D2C4D19F-72E0-4BEA-8376-A843475D43FC}" name="Column3" dataDxfId="76"/>
    <tableColumn id="6" xr3:uid="{6D2043FC-F5EA-47EA-9BC1-0887EDCFCD4C}" name="Column4" dataDxfId="75"/>
    <tableColumn id="7" xr3:uid="{24C00EE2-7E92-40EA-A8D5-12FC16EB935F}" name="Column5" dataDxfId="74"/>
    <tableColumn id="8" xr3:uid="{3AB5E200-2649-4D87-852C-890A280241BC}" name="Column6" dataDxfId="73"/>
    <tableColumn id="9" xr3:uid="{B2C72D8E-1DAD-4C47-AF56-CEC73802DDC5}" name="Column7" dataDxfId="72"/>
    <tableColumn id="10" xr3:uid="{D096AF7E-386D-48F3-A3AB-C25CA4F2FE66}" name="Column8" dataDxfId="71"/>
    <tableColumn id="11" xr3:uid="{FE160058-6E49-4060-9FD2-507FC90E187F}" name="Column9" dataDxfId="70"/>
    <tableColumn id="12" xr3:uid="{6A1AC297-B291-4C55-BAF9-CD7B05062D23}" name="Column10" dataDxfId="69"/>
    <tableColumn id="13" xr3:uid="{D74EB1F6-75E1-42E2-9424-C4A9C85F2F5C}" name="Column11" dataDxfId="68"/>
    <tableColumn id="14" xr3:uid="{30DFBC8C-53F9-4AF6-9AAC-24FA28D9E653}" name="2022" dataDxfId="67"/>
    <tableColumn id="15" xr3:uid="{0CC67DF7-9095-4FCD-B16A-B66C64B601A2}" name="Column12" dataDxfId="66"/>
    <tableColumn id="16" xr3:uid="{A06DCEBD-EE69-4FE9-9196-6F1AAEEB174B}" name="Column13" dataDxfId="65"/>
    <tableColumn id="17" xr3:uid="{0CD837AC-2D73-4B19-B182-385A6D061E42}" name="Column14" dataDxfId="64"/>
    <tableColumn id="18" xr3:uid="{772301E7-E8E0-45B6-A96F-AED09F5822B2}" name="Column15" dataDxfId="63"/>
    <tableColumn id="19" xr3:uid="{190D0F68-0E6E-43AE-8ADA-59F9CDF9AD78}" name="Column16" dataDxfId="62"/>
    <tableColumn id="20" xr3:uid="{B39987F8-D0AE-4A88-A4E7-C5978803F6AD}" name="Column17" dataDxfId="61"/>
    <tableColumn id="21" xr3:uid="{E8DCD0B8-51A3-4D91-8B73-5ABC3BE47E95}" name="Column18" dataDxfId="60"/>
    <tableColumn id="22" xr3:uid="{3B3E2A51-72F9-4810-B3FB-B445DDF127DA}" name="Column19" dataDxfId="59"/>
    <tableColumn id="23" xr3:uid="{1A278153-593A-41F6-87D2-6BD18C9159F9}" name="Column20" dataDxfId="58"/>
    <tableColumn id="24" xr3:uid="{51CB3BE7-AF72-4935-A837-A62E36535CD9}" name="Column21" dataDxfId="57"/>
    <tableColumn id="25" xr3:uid="{93FB6DA8-1DCE-4B4D-A785-402F0B581B72}" name="Column22"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7A4481F-B78D-4A4E-B2E6-0D43D0FBE82C}" name="Table15" displayName="Table15" ref="A311:D319" totalsRowShown="0">
  <autoFilter ref="A311:D319" xr:uid="{67A4481F-B78D-4A4E-B2E6-0D43D0FBE82C}"/>
  <tableColumns count="4">
    <tableColumn id="1" xr3:uid="{430C2652-9CC0-4FAE-A160-14B4FA9F78DE}" name="Sector"/>
    <tableColumn id="2" xr3:uid="{EB15DA40-F05E-4A2E-B6FF-B5F6A1522365}" name="Year"/>
    <tableColumn id="3" xr3:uid="{ADF487AC-F066-42CF-A81F-18834D156808}" name="General Index" dataDxfId="55"/>
    <tableColumn id="4" xr3:uid="{3A4410C7-EE89-4CAB-AA96-9E904593D9E5}" name="YoY Growth" dataDxfId="54">
      <calculatedColumnFormula>((C312-C311)/C311)*100</calculatedColumn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5A024-B268-46BE-AE1C-20737B20A017}" name="Table1" displayName="Table1" ref="A120:E127" totalsRowShown="0" headerRowDxfId="53" tableBorderDxfId="52">
  <autoFilter ref="A120:E127" xr:uid="{76B5A024-B268-46BE-AE1C-20737B20A017}"/>
  <tableColumns count="5">
    <tableColumn id="1" xr3:uid="{021997FF-7A5D-485C-B1D8-BBD2DA82634E}" name="Sector"/>
    <tableColumn id="2" xr3:uid="{808A4594-5D2B-4B20-90F1-2B1B28B1FEB3}" name="Year"/>
    <tableColumn id="3" xr3:uid="{B24A2191-C020-43AB-B3E9-009264ABEF6A}" name="General Index" dataDxfId="51"/>
    <tableColumn id="4" xr3:uid="{0A158626-C0A9-459E-8ED1-683348F854B7}" name="YoY Growth" dataDxfId="50">
      <calculatedColumnFormula>((C121-C120)/C120)*100</calculatedColumnFormula>
    </tableColumn>
    <tableColumn id="5" xr3:uid="{3F998F4D-C337-478B-ADB2-D38D225223BA}"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79308A-1DF6-4ABD-A729-3A96D142355C}" name="Table3" displayName="Table3" ref="A171:E184" totalsRowShown="0" headerRowDxfId="49" headerRowBorderDxfId="48" tableBorderDxfId="47">
  <autoFilter ref="A171:E184" xr:uid="{4879308A-1DF6-4ABD-A729-3A96D142355C}">
    <filterColumn colId="1">
      <filters>
        <filter val="2023"/>
      </filters>
    </filterColumn>
  </autoFilter>
  <tableColumns count="5">
    <tableColumn id="1" xr3:uid="{05160029-D267-4438-A7F5-15C25DE64F69}" name="Sector"/>
    <tableColumn id="2" xr3:uid="{C1D5FAE2-F6FF-428E-A553-6F80D37E0A99}" name="Year"/>
    <tableColumn id="3" xr3:uid="{50E18543-19AA-452E-A93C-7F0649ADAC6A}" name="Month"/>
    <tableColumn id="4" xr3:uid="{3C5E321E-C1AC-4AC5-8B16-117F6CDAA3D3}" name="Food" dataDxfId="46">
      <calculatedColumnFormula>AVERAGE(D154:P154)</calculatedColumnFormula>
    </tableColumn>
    <tableColumn id="5" xr3:uid="{36CD412A-4F0A-4EDB-97CE-A4EB923EF5DF}" name="Monthly inflation rate" dataDxfId="45">
      <calculatedColumnFormula>((D172-D171)/D171)*100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74B12F-952F-484B-BFBA-F4C46D7D51EA}" name="Table4" displayName="Table4" ref="A610:AC639" totalsRowShown="0">
  <autoFilter ref="A610:AC639" xr:uid="{D874B12F-952F-484B-BFBA-F4C46D7D51EA}"/>
  <tableColumns count="29">
    <tableColumn id="1" xr3:uid="{BFEADD05-6B32-41C8-A476-1BCA39EB8439}" name="Sector"/>
    <tableColumn id="2" xr3:uid="{5D82A9AC-6B1E-4E60-8538-F800FEF9DE27}" name="Year"/>
    <tableColumn id="3" xr3:uid="{6A25EB40-DE31-4401-9590-04652CF7705A}" name="Month"/>
    <tableColumn id="4" xr3:uid="{ABE2ECF5-8722-4FCB-B0ED-03A8A22FD661}" name="Cereals and products">
      <calculatedColumnFormula>((D570-D569)/D569)*100</calculatedColumnFormula>
    </tableColumn>
    <tableColumn id="5" xr3:uid="{40AEFC98-C2EA-4323-AB8A-357CEA6D6AB7}" name="Meat and fish">
      <calculatedColumnFormula>((E570-E569)/E569)*100</calculatedColumnFormula>
    </tableColumn>
    <tableColumn id="6" xr3:uid="{2E6D90B8-3E61-462A-B007-71B996B59759}" name="Egg">
      <calculatedColumnFormula>((F570-F569)/F569)*100</calculatedColumnFormula>
    </tableColumn>
    <tableColumn id="7" xr3:uid="{D408C08F-2EC3-4214-8038-E806A1E20098}" name="Milk and products">
      <calculatedColumnFormula>((G570-G569)/G569)*100</calculatedColumnFormula>
    </tableColumn>
    <tableColumn id="8" xr3:uid="{6DE14819-C389-48AC-9C8C-77F99602520A}" name="Oils and fats">
      <calculatedColumnFormula>((H570-H569)/H569)*100</calculatedColumnFormula>
    </tableColumn>
    <tableColumn id="9" xr3:uid="{1650111E-0339-4EF9-9CBD-1048C1F6DC5B}" name="Fruits">
      <calculatedColumnFormula>((I570-I569)/I569)*100</calculatedColumnFormula>
    </tableColumn>
    <tableColumn id="10" xr3:uid="{8D475D73-C792-4608-932A-5DBFB3DE4BDA}" name="Vegetables">
      <calculatedColumnFormula>((J570-J569)/J569)*100</calculatedColumnFormula>
    </tableColumn>
    <tableColumn id="11" xr3:uid="{8188D8B4-E648-498C-9E8B-41219FA0017C}" name="Pulses and products">
      <calculatedColumnFormula>((K570-K569)/K569)*100</calculatedColumnFormula>
    </tableColumn>
    <tableColumn id="12" xr3:uid="{0E3D5E9E-9DCF-4672-BB71-D5CE586AE84D}" name="Sugar and Confectionery">
      <calculatedColumnFormula>((L570-L569)/L569)*100</calculatedColumnFormula>
    </tableColumn>
    <tableColumn id="13" xr3:uid="{030C6086-D4A3-4225-96D1-D47C6DDECCCB}" name="Spices">
      <calculatedColumnFormula>((M570-M569)/M569)*100</calculatedColumnFormula>
    </tableColumn>
    <tableColumn id="14" xr3:uid="{52F66796-A681-40EE-8BBE-10D12415F402}" name="Non-alcoholic beverages">
      <calculatedColumnFormula>((N570-N569)/N569)*100</calculatedColumnFormula>
    </tableColumn>
    <tableColumn id="15" xr3:uid="{F3B0C178-EF17-48B3-AAC9-071D0E790612}" name="Prepared meals, snacks, sweets etc.">
      <calculatedColumnFormula>((O570-O569)/O569)*100</calculatedColumnFormula>
    </tableColumn>
    <tableColumn id="16" xr3:uid="{127F60F4-DB37-4914-9C29-F2658DDA08D0}" name="Food and beverages">
      <calculatedColumnFormula>((P570-P569)/P569)*100</calculatedColumnFormula>
    </tableColumn>
    <tableColumn id="17" xr3:uid="{4FD7EC94-5A21-454C-9A54-E9D3C3737CD1}" name="Pan, tobacco and intoxicants">
      <calculatedColumnFormula>((Q570-Q569)/Q569)*100</calculatedColumnFormula>
    </tableColumn>
    <tableColumn id="18" xr3:uid="{397641B6-7B18-4A3A-BF41-EB3198B84A71}" name="Clothing">
      <calculatedColumnFormula>((R570-R569)/R569)*100</calculatedColumnFormula>
    </tableColumn>
    <tableColumn id="19" xr3:uid="{2BA7495C-5B9C-44F5-9A06-73173D8BA1DF}" name="Footwear">
      <calculatedColumnFormula>((S570-S569)/S569)*100</calculatedColumnFormula>
    </tableColumn>
    <tableColumn id="20" xr3:uid="{940A9F61-26CA-44DD-89BB-F4E04E9688D6}" name="Clothing and footwear">
      <calculatedColumnFormula>((T570-T569)/T569)*100</calculatedColumnFormula>
    </tableColumn>
    <tableColumn id="21" xr3:uid="{224EE977-40FE-4415-8C2F-171FE099431A}" name="Housing">
      <calculatedColumnFormula>((U570-U569)/U569)*100</calculatedColumnFormula>
    </tableColumn>
    <tableColumn id="22" xr3:uid="{668BFE70-89F7-4A5F-A6C9-2FE13824A61B}" name="Fuel and light">
      <calculatedColumnFormula>((V570-V569)/V569)*100</calculatedColumnFormula>
    </tableColumn>
    <tableColumn id="23" xr3:uid="{297C99ED-5574-45A2-BFFB-684D5B1C5FD9}" name="Household goods and services">
      <calculatedColumnFormula>((W570-W569)/W569)*100</calculatedColumnFormula>
    </tableColumn>
    <tableColumn id="24" xr3:uid="{210565AC-51E3-4B8D-945F-D86A4EAC92F3}" name="Health">
      <calculatedColumnFormula>((X570-X569)/X569)*100</calculatedColumnFormula>
    </tableColumn>
    <tableColumn id="25" xr3:uid="{0C6E7D23-A5FA-45B5-BC28-EF015FED398F}" name="Transport and communication">
      <calculatedColumnFormula>((Y570-Y569)/Y569)*100</calculatedColumnFormula>
    </tableColumn>
    <tableColumn id="26" xr3:uid="{7C2A3442-11D0-4851-9B60-2A5EC4216BC6}" name="Recreation and amusement">
      <calculatedColumnFormula>((Z570-Z569)/Z569)*100</calculatedColumnFormula>
    </tableColumn>
    <tableColumn id="27" xr3:uid="{AFF1400D-42F5-47C1-8EA0-9A3E14FEEA8C}" name="Education">
      <calculatedColumnFormula>((AA570-AA569)/AA569)*100</calculatedColumnFormula>
    </tableColumn>
    <tableColumn id="28" xr3:uid="{64ED44C4-F854-4DDA-8EB7-186CEFF2AD32}" name="Personal care and effects">
      <calculatedColumnFormula>((AB570-AB569)/AB569)*100</calculatedColumnFormula>
    </tableColumn>
    <tableColumn id="29" xr3:uid="{4284EA5C-4E74-484C-8DF0-1F6E12DBC405}" name="Miscellaneous">
      <calculatedColumnFormula>((AC570-AC569)/AC569)*100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A0DCED-D361-470C-BC75-1E06504FD85A}" name="Table5" displayName="Table5" ref="A645:Z646" totalsRowShown="0">
  <autoFilter ref="A645:Z646" xr:uid="{D5A0DCED-D361-470C-BC75-1E06504FD85A}"/>
  <tableColumns count="26">
    <tableColumn id="1" xr3:uid="{A551EB50-4A71-47C1-BE4B-698EDC91427C}" name="Cereals and products">
      <calculatedColumnFormula>CORREL($D$472:$D$499,D612:D639)</calculatedColumnFormula>
    </tableColumn>
    <tableColumn id="2" xr3:uid="{7ADBB540-0702-4AEC-BE02-C888D52B9B76}" name="Meat and fish">
      <calculatedColumnFormula>CORREL($D$472:$D$499,E612:E639)</calculatedColumnFormula>
    </tableColumn>
    <tableColumn id="3" xr3:uid="{911150B3-93D0-4340-A0FD-00FC8DDD86BD}" name="Egg">
      <calculatedColumnFormula>CORREL($D$472:$D$499,F612:F639)</calculatedColumnFormula>
    </tableColumn>
    <tableColumn id="4" xr3:uid="{2777FC87-8E79-459F-B120-19F9FA8DCC70}" name="Milk and products">
      <calculatedColumnFormula>CORREL($D$472:$D$499,G612:G639)</calculatedColumnFormula>
    </tableColumn>
    <tableColumn id="5" xr3:uid="{E32EE08A-EA97-4A69-B319-A4F380026505}" name="Oils and fats">
      <calculatedColumnFormula>CORREL($D$472:$D$499,H612:H639)</calculatedColumnFormula>
    </tableColumn>
    <tableColumn id="6" xr3:uid="{381A01EC-E372-4A2A-9106-B1D1B19FA338}" name="Fruits">
      <calculatedColumnFormula>CORREL($D$472:$D$499,I612:I639)</calculatedColumnFormula>
    </tableColumn>
    <tableColumn id="7" xr3:uid="{D1326A00-A314-480D-9ADC-7A55F73EADA8}" name="Vegetables">
      <calculatedColumnFormula>CORREL($D$472:$D$499,J612:J639)</calculatedColumnFormula>
    </tableColumn>
    <tableColumn id="8" xr3:uid="{904CED4B-115D-41A5-B74D-4BE1CFF6D9A4}" name="Pulses and products">
      <calculatedColumnFormula>CORREL($D$472:$D$499,K612:K639)</calculatedColumnFormula>
    </tableColumn>
    <tableColumn id="9" xr3:uid="{31A99F4C-E0BB-4A50-825F-C11AE66E2162}" name="Sugar and Confectionery">
      <calculatedColumnFormula>CORREL($D$472:$D$499,L612:L639)</calculatedColumnFormula>
    </tableColumn>
    <tableColumn id="10" xr3:uid="{3423E3A6-FB53-44ED-B8C3-DA740BE76F23}" name="Spices">
      <calculatedColumnFormula>CORREL($D$472:$D$499,M612:M639)</calculatedColumnFormula>
    </tableColumn>
    <tableColumn id="11" xr3:uid="{8C2BE675-FB52-4126-8241-46145EBCB28E}" name="Non-alcoholic beverages">
      <calculatedColumnFormula>CORREL($D$472:$D$499,N612:N639)</calculatedColumnFormula>
    </tableColumn>
    <tableColumn id="12" xr3:uid="{77AFDEE2-A3A9-4CC5-9C8B-0FD0302BC7D6}" name="Prepared meals, snacks, sweets etc.">
      <calculatedColumnFormula>CORREL($D$472:$D$499,O612:O639)</calculatedColumnFormula>
    </tableColumn>
    <tableColumn id="13" xr3:uid="{E2312368-6591-4F0A-B68D-14ECA2A27238}" name="Food and beverages">
      <calculatedColumnFormula>CORREL($D$472:$D$499,P612:P639)</calculatedColumnFormula>
    </tableColumn>
    <tableColumn id="14" xr3:uid="{2359087B-7242-4279-A19B-B19A3D1DDC20}" name="Pan, tobacco and intoxicants">
      <calculatedColumnFormula>CORREL($D$472:$D$499,Q612:Q639)</calculatedColumnFormula>
    </tableColumn>
    <tableColumn id="15" xr3:uid="{0B522DC8-B911-4977-89A8-3063334C5D19}" name="Clothing">
      <calculatedColumnFormula>CORREL($D$472:$D$499,R612:R639)</calculatedColumnFormula>
    </tableColumn>
    <tableColumn id="16" xr3:uid="{C4ABB4B1-03C5-4EFE-A245-AD0F2A787D44}" name="Footwear">
      <calculatedColumnFormula>CORREL($D$472:$D$499,S612:S639)</calculatedColumnFormula>
    </tableColumn>
    <tableColumn id="17" xr3:uid="{194DCFE8-885F-4F75-96E8-5A9B510892E5}" name="Clothing and footwear">
      <calculatedColumnFormula>CORREL($D$472:$D$499,T612:T639)</calculatedColumnFormula>
    </tableColumn>
    <tableColumn id="18" xr3:uid="{8B760835-52D8-4488-87F8-80A48728C26B}" name="Housing">
      <calculatedColumnFormula>CORREL($D$472:$D$499,U612:U639)</calculatedColumnFormula>
    </tableColumn>
    <tableColumn id="19" xr3:uid="{10E1A349-FC1D-4716-AF92-3B103C800557}" name="Fuel and light">
      <calculatedColumnFormula>CORREL($D$472:$D$499,V612:V639)</calculatedColumnFormula>
    </tableColumn>
    <tableColumn id="20" xr3:uid="{DC671433-D306-429D-90E1-BB938616C8FF}" name="Household goods and services">
      <calculatedColumnFormula>CORREL($D$472:$D$499,W612:W639)</calculatedColumnFormula>
    </tableColumn>
    <tableColumn id="21" xr3:uid="{AD2DB79A-20E9-4C64-949B-254907F1FC05}" name="Health">
      <calculatedColumnFormula>CORREL($D$472:$D$499,X612:X639)</calculatedColumnFormula>
    </tableColumn>
    <tableColumn id="22" xr3:uid="{448C68A4-9C46-4CDA-9749-EF4BF3EFF4CA}" name="Transport and communication">
      <calculatedColumnFormula>CORREL($D$472:$D$499,Y612:Y639)</calculatedColumnFormula>
    </tableColumn>
    <tableColumn id="23" xr3:uid="{655A7820-8C4B-4F60-88D7-46BB94E52CDC}" name="Recreation and amusement">
      <calculatedColumnFormula>CORREL($D$472:$D$499,Z612:Z639)</calculatedColumnFormula>
    </tableColumn>
    <tableColumn id="24" xr3:uid="{2C78DD92-5FFF-4F7D-B03B-5D25006A2EBE}" name="Education">
      <calculatedColumnFormula>CORREL($D$472:$D$499,AA612:AA639)</calculatedColumnFormula>
    </tableColumn>
    <tableColumn id="25" xr3:uid="{FAA5094C-0C09-4FAA-954A-175AE33C7B2C}" name="Personal care and effects">
      <calculatedColumnFormula>CORREL($D$472:$D$499,AB612:AB639)</calculatedColumnFormula>
    </tableColumn>
    <tableColumn id="26" xr3:uid="{563242EA-E163-41F7-ADFF-3E951D9DB964}" name="Miscellaneous">
      <calculatedColumnFormula>CORREL($D$472:$D$499,AC612:AC639)</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9E4F15-3E47-45C1-8E3F-136258C3AA15}" name="Table8" displayName="Table8" ref="A569:AC598" totalsRowShown="0">
  <autoFilter ref="A569:AC598" xr:uid="{7F9E4F15-3E47-45C1-8E3F-136258C3AA15}"/>
  <tableColumns count="29">
    <tableColumn id="1" xr3:uid="{336797D1-1CDF-4ED4-B13C-0CB98F457F76}" name="Sector"/>
    <tableColumn id="2" xr3:uid="{DB71743F-ABD2-4CAB-A403-1B9DB205AA6A}" name="Year"/>
    <tableColumn id="3" xr3:uid="{1A177ED8-4D38-4A4B-98A6-DA63208C0AFE}" name="Month"/>
    <tableColumn id="4" xr3:uid="{06F8E0CD-C26D-4540-9C0D-F00BD5AE846A}" name="Cereals and products"/>
    <tableColumn id="5" xr3:uid="{C3292EE1-754C-4D14-A5CA-507DF2295719}" name="Meat and fish"/>
    <tableColumn id="6" xr3:uid="{FB04A5A1-7FA9-4344-B03E-C38203AF37F9}" name="Egg"/>
    <tableColumn id="7" xr3:uid="{4629D5AC-B1F3-42A3-892F-5970F319E924}" name="Milk and products"/>
    <tableColumn id="8" xr3:uid="{5ADE9316-7B68-45CC-B14D-D1F8CEA63BC0}" name="Oils and fats"/>
    <tableColumn id="9" xr3:uid="{F5660880-BE71-4D48-99C9-0537EC03CFF4}" name="Fruits"/>
    <tableColumn id="10" xr3:uid="{D04DCC11-31C3-4A8E-8694-3CC9E6FE5A5A}" name="Vegetables"/>
    <tableColumn id="11" xr3:uid="{23382B44-F4CA-4EF7-8334-83A1280C380F}" name="Pulses and products"/>
    <tableColumn id="12" xr3:uid="{243B8012-D272-41FD-872E-711B573162A0}" name="Sugar and Confectionery"/>
    <tableColumn id="13" xr3:uid="{26CB02C8-1D7F-4C2D-8F67-67B909A1D9DD}" name="Spices"/>
    <tableColumn id="14" xr3:uid="{A8DC5ECE-AB03-4884-AD2C-6B7B02A3ABD5}" name="Non-alcoholic beverages"/>
    <tableColumn id="15" xr3:uid="{B36688F9-9729-4507-8918-546885E23CE1}" name="Prepared meals, snacks, sweets etc."/>
    <tableColumn id="16" xr3:uid="{83F8BCF5-15E9-4215-B9F1-F5CAB8747414}" name="Food and beverages"/>
    <tableColumn id="17" xr3:uid="{5C013849-B0F7-4468-A2FD-CE2D2703B6C9}" name="Pan, tobacco and intoxicants"/>
    <tableColumn id="18" xr3:uid="{03002DD3-75D5-4D85-8FA2-60D0490379D3}" name="Clothing"/>
    <tableColumn id="19" xr3:uid="{F6353AEF-F143-4EB5-86CC-7278B3ECFB44}" name="Footwear"/>
    <tableColumn id="20" xr3:uid="{3469645C-38DE-4FC9-A1D0-4D3380C03498}" name="Clothing and footwear"/>
    <tableColumn id="21" xr3:uid="{F6616FF0-C188-4D15-80CD-861B1FE65241}" name="Housing"/>
    <tableColumn id="22" xr3:uid="{07952C11-3E93-461F-8D02-3662CFDC043C}" name="Fuel and light"/>
    <tableColumn id="23" xr3:uid="{9CF81656-2461-4165-AA3C-DE6605E92E6F}" name="Household goods and services"/>
    <tableColumn id="24" xr3:uid="{7968D82B-58B1-4329-BA25-C496A701E0B0}" name="Health"/>
    <tableColumn id="25" xr3:uid="{69009ADB-B154-42A6-849B-C31014DB17D3}" name="Transport and communication"/>
    <tableColumn id="26" xr3:uid="{4CF0728E-2E92-435A-8EE3-718AFED80E87}" name="Recreation and amusement"/>
    <tableColumn id="27" xr3:uid="{B61E4201-E942-4245-92BA-F8AFC75338B0}" name="Education"/>
    <tableColumn id="28" xr3:uid="{52419734-3123-4578-822B-D347C7CAF3E3}" name="Personal care and effects"/>
    <tableColumn id="29" xr3:uid="{96E2B888-0E02-42A8-B9D5-55D0F519D03B}" name="Miscellaneo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4665009-B974-4A99-AB4D-7B15643A3144}" name="Table12" displayName="Table12" ref="A470:D499" totalsRowShown="0" headerRowDxfId="40" headerRowBorderDxfId="43" tableBorderDxfId="44">
  <autoFilter ref="A470:D499" xr:uid="{14665009-B974-4A99-AB4D-7B15643A3144}"/>
  <tableColumns count="4">
    <tableColumn id="1" xr3:uid="{5F3FDF25-FA71-449E-B911-E359787BB054}" name="Year"/>
    <tableColumn id="2" xr3:uid="{B25CBBC8-8ED1-46AE-92B7-D6FFB82D252F}" name="Months"/>
    <tableColumn id="3" xr3:uid="{C4C65425-94C6-4A45-9D7C-D47DDB14232F}" name="Prices" dataDxfId="42"/>
    <tableColumn id="4" xr3:uid="{68F16072-88ED-4902-8EB0-D9DDD53ABA30}" name="MoM Change" dataDxfId="41">
      <calculatedColumnFormula>((C471-C470)/C470)*100</calculatedColumnFormula>
    </tableColumn>
  </tableColumns>
  <tableStyleInfo name="TableStyleLight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5B426A-2145-4560-8F25-262B8B544130}" name="Table16" displayName="Table16" ref="A153:P166" totalsRowShown="0" headerRowDxfId="24" headerRowBorderDxfId="38" tableBorderDxfId="39">
  <autoFilter ref="A153:P166" xr:uid="{D55B426A-2145-4560-8F25-262B8B544130}"/>
  <tableColumns count="16">
    <tableColumn id="1" xr3:uid="{77A9687B-D671-4237-B199-03989AA8F968}" name="Sector"/>
    <tableColumn id="2" xr3:uid="{B2BD1FD4-BF28-4868-A13B-8FA9D7130506}" name="Year"/>
    <tableColumn id="3" xr3:uid="{13DBF91C-87A0-42BF-B259-D3AE8FA9FD79}" name="Month"/>
    <tableColumn id="4" xr3:uid="{E1ED4162-E179-444C-B9ED-49BEF113580B}" name="Cereals and products" dataDxfId="37"/>
    <tableColumn id="5" xr3:uid="{14F2D90E-5CA7-4511-B416-900AD8451477}" name="Meat and fish" dataDxfId="36"/>
    <tableColumn id="6" xr3:uid="{65D35835-549D-4100-83D6-424F443E6805}" name="Egg" dataDxfId="35"/>
    <tableColumn id="7" xr3:uid="{E664226D-A6C5-496A-A57F-ED6B8CB978A2}" name="Milk and products" dataDxfId="34"/>
    <tableColumn id="8" xr3:uid="{54DE9595-56DC-486D-9056-0AA9AA8B55DD}" name="Oils and fats" dataDxfId="33"/>
    <tableColumn id="9" xr3:uid="{BD553A45-0602-44C1-B4AC-8F5345187A1D}" name="Fruits" dataDxfId="32"/>
    <tableColumn id="10" xr3:uid="{54D7F2F1-D0C9-4CD8-94B1-3D0AE4C1E77A}" name="Vegetables" dataDxfId="31"/>
    <tableColumn id="11" xr3:uid="{53A70110-23AE-4FAD-88C9-C2E38B212B12}" name="Pulses and products" dataDxfId="30"/>
    <tableColumn id="12" xr3:uid="{89B76C4E-6449-49EB-AE81-F35A5A291F47}" name="Sugar and Confectionery" dataDxfId="29"/>
    <tableColumn id="13" xr3:uid="{1BD08E9A-0322-4F58-9B43-ED38D178F55F}" name="Spices" dataDxfId="28"/>
    <tableColumn id="14" xr3:uid="{7F2D3D87-7698-41FA-A3C0-DC5B1E1D6CF8}" name="Non-alcoholic beverages" dataDxfId="27"/>
    <tableColumn id="15" xr3:uid="{E432D3C8-5576-47DB-89BC-373D61FC9656}" name="Prepared meals, snacks, sweets etc." dataDxfId="26"/>
    <tableColumn id="16" xr3:uid="{D3FA4A5E-9E84-4251-A61E-6C9C09DB26BB}" name="Food and beverages" dataDxfId="25"/>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5CF03A5-4802-48ED-9FFD-35DF36AE93D0}" name="Table19" displayName="Table19" ref="A219:D307" totalsRowShown="0" headerRowDxfId="20" headerRowBorderDxfId="22" tableBorderDxfId="23">
  <autoFilter ref="A219:D307" xr:uid="{45CF03A5-4802-48ED-9FFD-35DF36AE93D0}"/>
  <tableColumns count="4">
    <tableColumn id="1" xr3:uid="{4B769CF4-D863-4B7A-85F4-A12235958DB5}" name="Sector"/>
    <tableColumn id="2" xr3:uid="{E086AB09-DEBE-4B4B-86EB-D56440F77850}" name="Year"/>
    <tableColumn id="3" xr3:uid="{674CBA8D-A1C9-4C2F-99B6-AC8D5D20C98F}" name="Month"/>
    <tableColumn id="4" xr3:uid="{5BD0603B-5747-4CF5-AFE1-EAE3BD24DCFC}" name="General Index" dataDxfId="21"/>
  </tableColumns>
  <tableStyleInfo name="TableStyleLight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A66C64F-6720-4044-BC91-7F0F2E9256C7}" name="Table20" displayName="Table20" ref="A331:H417" totalsRowShown="0" headerRowDxfId="12" headerRowBorderDxfId="18" tableBorderDxfId="19">
  <autoFilter ref="A331:H417" xr:uid="{EA66C64F-6720-4044-BC91-7F0F2E9256C7}"/>
  <tableColumns count="8">
    <tableColumn id="1" xr3:uid="{2078B7CD-A352-4193-86ED-75C5EDA0CC07}" name="Sector"/>
    <tableColumn id="2" xr3:uid="{A9D6E3E3-437B-434B-9D38-97ADD5703A3B}" name="Year"/>
    <tableColumn id="3" xr3:uid="{49F9535A-69B7-46E3-8106-3D5B82CB5354}" name="Months"/>
    <tableColumn id="4" xr3:uid="{2CB4FFC1-71C0-4498-B7A5-AE67DE914146}" name="Food" dataDxfId="17"/>
    <tableColumn id="5" xr3:uid="{21A044F3-B3CF-4993-862A-17C16AB44BAE}" name="Housing" dataDxfId="16"/>
    <tableColumn id="6" xr3:uid="{55D5EA29-8A92-405F-B07A-6F050DDA5B47}" name="Fuel and light" dataDxfId="15"/>
    <tableColumn id="7" xr3:uid="{168C5D5E-1226-4BB8-8B64-7BA35C1925AB}" name="Health" dataDxfId="14"/>
    <tableColumn id="8" xr3:uid="{6D2169F3-7907-4D95-865D-37CB7F96540F}" name="Personal care and effects" dataDxfId="13"/>
  </tableColumns>
  <tableStyleInfo name="TableStyleMedium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8CE9442-88F2-49F4-8082-EF7762D1E6D1}" name="Table21" displayName="Table21" ref="A39:D115" totalsRowShown="0" headerRowDxfId="8" headerRowBorderDxfId="10" tableBorderDxfId="11">
  <autoFilter ref="A39:D115" xr:uid="{38CE9442-88F2-49F4-8082-EF7762D1E6D1}"/>
  <tableColumns count="4">
    <tableColumn id="1" xr3:uid="{D89B8BE3-DC47-44CC-BF9E-472889D22F13}" name="Sector"/>
    <tableColumn id="2" xr3:uid="{01CF10B1-12A6-4271-A38E-34421195CB3E}" name="Year"/>
    <tableColumn id="3" xr3:uid="{E283389D-E111-42E3-80F7-2FF780EBDE21}" name="Month"/>
    <tableColumn id="4" xr3:uid="{4FC2CAB7-FFF6-40B8-BCB5-25F532F706C0}" name="General Index" dataDxfId="9"/>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57C54DE-E15E-40EF-A248-6BE8410272E0}" name="Table23" displayName="Table23" ref="A426:E431" totalsRowShown="0" headerRowDxfId="0" dataDxfId="1" tableBorderDxfId="7">
  <autoFilter ref="A426:E431" xr:uid="{457C54DE-E15E-40EF-A248-6BE8410272E0}">
    <filterColumn colId="0">
      <filters>
        <filter val="Fuel and light"/>
      </filters>
    </filterColumn>
  </autoFilter>
  <tableColumns count="5">
    <tableColumn id="1" xr3:uid="{44099778-87F7-4CE3-BC19-7A3A1B1B32F0}" name="Categories" dataDxfId="6"/>
    <tableColumn id="2" xr3:uid="{63836D16-EDCD-4D75-A67D-30C7C12F231B}" name="Mar'19" dataDxfId="5"/>
    <tableColumn id="3" xr3:uid="{EF688C6B-3724-4DD1-9F19-3A3273DCAA01}" name="Mar'20" dataDxfId="4"/>
    <tableColumn id="4" xr3:uid="{78D028CB-0D0D-4FED-B0E4-2E310DE34AB6}" name="Mar'21" dataDxfId="3"/>
    <tableColumn id="5" xr3:uid="{49F46903-AD81-4A9D-8C26-DB96B9481259}" name="Mar'2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17" Type="http://schemas.microsoft.com/office/2007/relationships/slicer" Target="../slicers/slicer1.xml"/><Relationship Id="rId2" Type="http://schemas.openxmlformats.org/officeDocument/2006/relationships/drawing" Target="../drawings/drawing1.xml"/><Relationship Id="rId16" Type="http://schemas.openxmlformats.org/officeDocument/2006/relationships/table" Target="../tables/table14.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8647-BACC-4748-814A-91F0393AB5C2}">
  <sheetPr filterMode="1"/>
  <dimension ref="A1:AR373"/>
  <sheetViews>
    <sheetView zoomScale="111" workbookViewId="0">
      <selection activeCell="AB1" sqref="AB1"/>
    </sheetView>
  </sheetViews>
  <sheetFormatPr defaultRowHeight="14.5" x14ac:dyDescent="0.35"/>
  <cols>
    <col min="31" max="31" width="12.453125" customWidth="1"/>
    <col min="32" max="33" width="14.08984375" customWidth="1"/>
    <col min="34" max="34" width="14.90625" customWidth="1"/>
    <col min="35" max="35" width="11.90625" customWidth="1"/>
    <col min="36" max="36" width="11.6328125" customWidth="1"/>
    <col min="37" max="37" width="15.90625"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idden="1"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hidden="1"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hidden="1"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hidden="1"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hidden="1"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hidden="1"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hidden="1"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hidden="1"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hidden="1"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hidden="1"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hidden="1"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hidden="1"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hidden="1"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hidden="1"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hidden="1"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hidden="1"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hidden="1"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hidden="1"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hidden="1"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hidden="1"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hidden="1"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hidden="1"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hidden="1"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hidden="1"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hidden="1"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hidden="1"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hidden="1"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hidden="1"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hidden="1"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hidden="1"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hidden="1"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hidden="1"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hidden="1"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44" hidden="1"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44" hidden="1"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44" hidden="1"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44" hidden="1"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44" hidden="1"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44" hidden="1"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44" hidden="1"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44" hidden="1"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44" hidden="1"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44" hidden="1"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44" hidden="1"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44" hidden="1"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44" hidden="1"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44" hidden="1"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44" hidden="1"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44" hidden="1"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R112">
        <f>AVERAGE(AD110:AD112)</f>
        <v>126.2</v>
      </c>
    </row>
    <row r="113" spans="1:44" hidden="1"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44" hidden="1"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44" hidden="1"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R115">
        <f>AVERAGE(AD113:AD115)</f>
        <v>125.89999999999999</v>
      </c>
    </row>
    <row r="116" spans="1:44" hidden="1"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44" hidden="1"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44" hidden="1"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f>AVERAGE(D116:D118)</f>
        <v>126.2</v>
      </c>
      <c r="AF118">
        <f t="shared" ref="AF118:AQ118" si="0">AVERAGE(E116:E118)</f>
        <v>135.26666666666668</v>
      </c>
      <c r="AG118">
        <f t="shared" si="0"/>
        <v>124.46666666666665</v>
      </c>
      <c r="AH118">
        <f t="shared" si="0"/>
        <v>130.13333333333333</v>
      </c>
      <c r="AI118">
        <f t="shared" si="0"/>
        <v>113.56666666666666</v>
      </c>
      <c r="AJ118">
        <f t="shared" si="0"/>
        <v>125.93333333333334</v>
      </c>
      <c r="AK118">
        <f t="shared" si="0"/>
        <v>129.53333333333333</v>
      </c>
      <c r="AL118">
        <f t="shared" si="0"/>
        <v>165.26666666666668</v>
      </c>
      <c r="AM118">
        <f t="shared" si="0"/>
        <v>101.03333333333335</v>
      </c>
      <c r="AN118">
        <f t="shared" si="0"/>
        <v>134.93333333333331</v>
      </c>
      <c r="AO118">
        <f t="shared" si="0"/>
        <v>122.90000000000002</v>
      </c>
      <c r="AP118">
        <f t="shared" si="0"/>
        <v>136.23333333333332</v>
      </c>
      <c r="AQ118">
        <f t="shared" si="0"/>
        <v>129.70000000000002</v>
      </c>
      <c r="AR118">
        <f>AVERAGE(AD116:AD118)</f>
        <v>125.93333333333334</v>
      </c>
    </row>
    <row r="119" spans="1:44" hidden="1"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44" hidden="1"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44" hidden="1"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f>AVERAGE(D119:D121)</f>
        <v>126.3</v>
      </c>
      <c r="AF121">
        <f t="shared" ref="AF121:AQ121" si="1">AVERAGE(E119:E121)</f>
        <v>137.16666666666669</v>
      </c>
      <c r="AG121">
        <f t="shared" si="1"/>
        <v>121.76666666666667</v>
      </c>
      <c r="AH121">
        <f t="shared" si="1"/>
        <v>130.79999999999998</v>
      </c>
      <c r="AI121">
        <f t="shared" si="1"/>
        <v>113.96666666666668</v>
      </c>
      <c r="AJ121">
        <f t="shared" si="1"/>
        <v>134.66666666666666</v>
      </c>
      <c r="AK121">
        <f t="shared" si="1"/>
        <v>135.29999999999998</v>
      </c>
      <c r="AL121">
        <f t="shared" si="1"/>
        <v>169.03333333333333</v>
      </c>
      <c r="AM121">
        <f t="shared" si="1"/>
        <v>106.83333333333333</v>
      </c>
      <c r="AN121">
        <f t="shared" si="1"/>
        <v>135.4</v>
      </c>
      <c r="AO121">
        <f t="shared" si="1"/>
        <v>123.36666666666667</v>
      </c>
      <c r="AP121">
        <f t="shared" si="1"/>
        <v>136.66666666666666</v>
      </c>
      <c r="AQ121">
        <f t="shared" si="1"/>
        <v>131.80000000000001</v>
      </c>
      <c r="AR121">
        <f>AVERAGE(AD119:AD121)</f>
        <v>127.2</v>
      </c>
    </row>
    <row r="122" spans="1:44" hidden="1"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44" hidden="1"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44" hidden="1"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f>AVERAGE(D122:D124)</f>
        <v>126.46666666666665</v>
      </c>
      <c r="AF124">
        <f t="shared" ref="AF124:AQ124" si="2">AVERAGE(E122:E124)</f>
        <v>139.56666666666669</v>
      </c>
      <c r="AG124">
        <f t="shared" si="2"/>
        <v>125.60000000000001</v>
      </c>
      <c r="AH124">
        <f t="shared" si="2"/>
        <v>131.5</v>
      </c>
      <c r="AI124">
        <f t="shared" si="2"/>
        <v>114.26666666666667</v>
      </c>
      <c r="AJ124">
        <f t="shared" si="2"/>
        <v>135.86666666666667</v>
      </c>
      <c r="AK124">
        <f t="shared" si="2"/>
        <v>146.10000000000002</v>
      </c>
      <c r="AL124">
        <f t="shared" si="2"/>
        <v>173.5</v>
      </c>
      <c r="AM124">
        <f t="shared" si="2"/>
        <v>109.10000000000001</v>
      </c>
      <c r="AN124">
        <f t="shared" si="2"/>
        <v>136.33333333333334</v>
      </c>
      <c r="AO124">
        <f t="shared" si="2"/>
        <v>123.93333333333334</v>
      </c>
      <c r="AP124">
        <f t="shared" si="2"/>
        <v>137.33333333333334</v>
      </c>
      <c r="AQ124">
        <f t="shared" si="2"/>
        <v>134.06666666666666</v>
      </c>
      <c r="AR124">
        <f>AVERAGE(AD122:AD124)</f>
        <v>128.5</v>
      </c>
    </row>
    <row r="125" spans="1:44" hidden="1"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44" hidden="1"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44" hidden="1"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f>AVERAGE(D125:D127)</f>
        <v>127.39999999999999</v>
      </c>
      <c r="AF127">
        <f t="shared" ref="AF127:AQ127" si="3">AVERAGE(E125:E127)</f>
        <v>141</v>
      </c>
      <c r="AG127">
        <f t="shared" si="3"/>
        <v>128.6</v>
      </c>
      <c r="AH127">
        <f t="shared" si="3"/>
        <v>132.4</v>
      </c>
      <c r="AI127">
        <f t="shared" si="3"/>
        <v>114.76666666666667</v>
      </c>
      <c r="AJ127">
        <f t="shared" si="3"/>
        <v>136.46666666666667</v>
      </c>
      <c r="AK127">
        <f t="shared" si="3"/>
        <v>161.96666666666667</v>
      </c>
      <c r="AL127">
        <f t="shared" si="3"/>
        <v>175.9666666666667</v>
      </c>
      <c r="AM127">
        <f t="shared" si="3"/>
        <v>110.23333333333335</v>
      </c>
      <c r="AN127">
        <f t="shared" si="3"/>
        <v>137.4</v>
      </c>
      <c r="AO127">
        <f t="shared" si="3"/>
        <v>124.13333333333333</v>
      </c>
      <c r="AP127">
        <f t="shared" si="3"/>
        <v>138.06666666666669</v>
      </c>
      <c r="AQ127">
        <f t="shared" si="3"/>
        <v>137</v>
      </c>
      <c r="AR127">
        <f>AVERAGE(AD125:AD127)</f>
        <v>130.03333333333333</v>
      </c>
    </row>
    <row r="128" spans="1:44" hidden="1"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44" hidden="1"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44" hidden="1"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f>AVERAGE(D128:D130)</f>
        <v>128.20000000000002</v>
      </c>
      <c r="AF130">
        <f t="shared" ref="AF130:AQ130" si="4">AVERAGE(E128:E130)</f>
        <v>141.63333333333333</v>
      </c>
      <c r="AG130">
        <f t="shared" si="4"/>
        <v>132.83333333333334</v>
      </c>
      <c r="AH130">
        <f t="shared" si="4"/>
        <v>133.26666666666668</v>
      </c>
      <c r="AI130">
        <f t="shared" si="4"/>
        <v>115.63333333333333</v>
      </c>
      <c r="AJ130">
        <f t="shared" si="4"/>
        <v>137.76666666666668</v>
      </c>
      <c r="AK130">
        <f t="shared" si="4"/>
        <v>167.70000000000002</v>
      </c>
      <c r="AL130">
        <f t="shared" si="4"/>
        <v>179.20000000000002</v>
      </c>
      <c r="AM130">
        <f t="shared" si="4"/>
        <v>111.63333333333333</v>
      </c>
      <c r="AN130">
        <f t="shared" si="4"/>
        <v>138.56666666666669</v>
      </c>
      <c r="AO130">
        <f t="shared" si="4"/>
        <v>124.66666666666667</v>
      </c>
      <c r="AP130">
        <f t="shared" si="4"/>
        <v>138.73333333333332</v>
      </c>
      <c r="AQ130">
        <f t="shared" si="4"/>
        <v>138.6</v>
      </c>
      <c r="AR130">
        <f>AVERAGE(AD128:AD130)</f>
        <v>131.03333333333333</v>
      </c>
    </row>
    <row r="131" spans="1:44" hidden="1"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44" hidden="1"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44" hidden="1"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f>AVERAGE(D131:D133)</f>
        <v>129</v>
      </c>
      <c r="AF133">
        <f t="shared" ref="AF133:AQ133" si="5">AVERAGE(E131:E133)</f>
        <v>139.46666666666667</v>
      </c>
      <c r="AG133">
        <f t="shared" si="5"/>
        <v>131.86666666666667</v>
      </c>
      <c r="AH133">
        <f t="shared" si="5"/>
        <v>133.86666666666667</v>
      </c>
      <c r="AI133">
        <f t="shared" si="5"/>
        <v>116.2</v>
      </c>
      <c r="AJ133">
        <f t="shared" si="5"/>
        <v>138.03333333333333</v>
      </c>
      <c r="AK133">
        <f t="shared" si="5"/>
        <v>159.83333333333334</v>
      </c>
      <c r="AL133">
        <f t="shared" si="5"/>
        <v>176.70000000000002</v>
      </c>
      <c r="AM133">
        <f t="shared" si="5"/>
        <v>113.2</v>
      </c>
      <c r="AN133">
        <f t="shared" si="5"/>
        <v>139.20000000000002</v>
      </c>
      <c r="AO133">
        <f t="shared" si="5"/>
        <v>125.16666666666667</v>
      </c>
      <c r="AP133">
        <f t="shared" si="5"/>
        <v>139.43333333333331</v>
      </c>
      <c r="AQ133">
        <f t="shared" si="5"/>
        <v>137.83333333333334</v>
      </c>
      <c r="AR133">
        <f>AVERAGE(AD131:AD133)</f>
        <v>131</v>
      </c>
    </row>
    <row r="134" spans="1:44" hidden="1"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44" hidden="1"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44" hidden="1"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f>AVERAGE(D134:D136)</f>
        <v>129.6</v>
      </c>
      <c r="AF136">
        <f t="shared" ref="AF136:AQ136" si="6">AVERAGE(E134:E136)</f>
        <v>137.96666666666667</v>
      </c>
      <c r="AG136">
        <f t="shared" si="6"/>
        <v>130.53333333333333</v>
      </c>
      <c r="AH136">
        <f t="shared" si="6"/>
        <v>134.16666666666666</v>
      </c>
      <c r="AI136">
        <f t="shared" si="6"/>
        <v>116.43333333333334</v>
      </c>
      <c r="AJ136">
        <f t="shared" si="6"/>
        <v>135.93333333333331</v>
      </c>
      <c r="AK136">
        <f t="shared" si="6"/>
        <v>151.03333333333333</v>
      </c>
      <c r="AL136">
        <f t="shared" si="6"/>
        <v>171.83333333333334</v>
      </c>
      <c r="AM136">
        <f t="shared" si="6"/>
        <v>114</v>
      </c>
      <c r="AN136">
        <f t="shared" si="6"/>
        <v>139.80000000000001</v>
      </c>
      <c r="AO136">
        <f t="shared" si="6"/>
        <v>125.63333333333333</v>
      </c>
      <c r="AP136">
        <f t="shared" si="6"/>
        <v>140.16666666666666</v>
      </c>
      <c r="AQ136">
        <f t="shared" si="6"/>
        <v>136.5</v>
      </c>
      <c r="AR136">
        <f>AVERAGE(AD134:AD136)</f>
        <v>130.76666666666665</v>
      </c>
    </row>
    <row r="137" spans="1:44" hidden="1"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44" hidden="1"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44" hidden="1"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f>AVERAGE(D137:D139)</f>
        <v>130.16666666666666</v>
      </c>
      <c r="AF139">
        <f t="shared" ref="AF139:AQ139" si="7">AVERAGE(E137:E139)</f>
        <v>137.96666666666667</v>
      </c>
      <c r="AG139">
        <f t="shared" si="7"/>
        <v>130.19999999999999</v>
      </c>
      <c r="AH139">
        <f t="shared" si="7"/>
        <v>134.5</v>
      </c>
      <c r="AI139">
        <f t="shared" si="7"/>
        <v>117.03333333333335</v>
      </c>
      <c r="AJ139">
        <f t="shared" si="7"/>
        <v>134.5</v>
      </c>
      <c r="AK139">
        <f t="shared" si="7"/>
        <v>151.83333333333331</v>
      </c>
      <c r="AL139">
        <f t="shared" si="7"/>
        <v>172.66666666666666</v>
      </c>
      <c r="AM139">
        <f t="shared" si="7"/>
        <v>114.3</v>
      </c>
      <c r="AN139">
        <f t="shared" si="7"/>
        <v>140.30000000000001</v>
      </c>
      <c r="AO139">
        <f t="shared" si="7"/>
        <v>125.76666666666665</v>
      </c>
      <c r="AP139">
        <f t="shared" si="7"/>
        <v>141.03333333333333</v>
      </c>
      <c r="AQ139">
        <f t="shared" si="7"/>
        <v>136.9</v>
      </c>
      <c r="AR139">
        <f>AVERAGE(AD137:AD139)</f>
        <v>131.26666666666665</v>
      </c>
    </row>
    <row r="140" spans="1:44" hidden="1"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44" hidden="1"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44" hidden="1"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f>AVERAGE(D140:D142)</f>
        <v>131.20000000000002</v>
      </c>
      <c r="AF142">
        <f t="shared" ref="AF142:AQ142" si="8">AVERAGE(E140:E142)</f>
        <v>137.9</v>
      </c>
      <c r="AG142">
        <f t="shared" si="8"/>
        <v>132.23333333333332</v>
      </c>
      <c r="AH142">
        <f t="shared" si="8"/>
        <v>134.70000000000002</v>
      </c>
      <c r="AI142">
        <f t="shared" si="8"/>
        <v>117.23333333333333</v>
      </c>
      <c r="AJ142">
        <f t="shared" si="8"/>
        <v>133.93333333333337</v>
      </c>
      <c r="AK142">
        <f t="shared" si="8"/>
        <v>141.9</v>
      </c>
      <c r="AL142">
        <f t="shared" si="8"/>
        <v>172.19999999999996</v>
      </c>
      <c r="AM142">
        <f t="shared" si="8"/>
        <v>114.36666666666667</v>
      </c>
      <c r="AN142">
        <f t="shared" si="8"/>
        <v>140.63333333333335</v>
      </c>
      <c r="AO142">
        <f t="shared" si="8"/>
        <v>125.86666666666666</v>
      </c>
      <c r="AP142">
        <f t="shared" si="8"/>
        <v>141.73333333333332</v>
      </c>
      <c r="AQ142">
        <f t="shared" si="8"/>
        <v>135.96666666666667</v>
      </c>
      <c r="AR142">
        <f>AVERAGE(AD140:AD142)</f>
        <v>131.1</v>
      </c>
    </row>
    <row r="143" spans="1:44" hidden="1"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44" hidden="1"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44" hidden="1"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f>AVERAGE(D143:D145)</f>
        <v>132.16666666666666</v>
      </c>
      <c r="AF145">
        <f t="shared" ref="AF145:AQ145" si="9">AVERAGE(E143:E145)</f>
        <v>137.70000000000002</v>
      </c>
      <c r="AG145">
        <f t="shared" si="9"/>
        <v>133.13333333333333</v>
      </c>
      <c r="AH145">
        <f t="shared" si="9"/>
        <v>134.83333333333334</v>
      </c>
      <c r="AI145">
        <f t="shared" si="9"/>
        <v>117.89999999999999</v>
      </c>
      <c r="AJ145">
        <f t="shared" si="9"/>
        <v>132.53333333333333</v>
      </c>
      <c r="AK145">
        <f t="shared" si="9"/>
        <v>124.63333333333333</v>
      </c>
      <c r="AL145">
        <f t="shared" si="9"/>
        <v>168.96666666666667</v>
      </c>
      <c r="AM145">
        <f t="shared" si="9"/>
        <v>114.56666666666668</v>
      </c>
      <c r="AN145">
        <f t="shared" si="9"/>
        <v>141.06666666666666</v>
      </c>
      <c r="AO145">
        <f t="shared" si="9"/>
        <v>126.26666666666665</v>
      </c>
      <c r="AP145">
        <f t="shared" si="9"/>
        <v>142.26666666666668</v>
      </c>
      <c r="AQ145">
        <f t="shared" si="9"/>
        <v>133.83333333333334</v>
      </c>
      <c r="AR145">
        <f>AVERAGE(AD143:AD145)</f>
        <v>130.26666666666665</v>
      </c>
    </row>
    <row r="146" spans="1:44" hidden="1"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44" hidden="1"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44"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f>AVERAGE(D146:D148)</f>
        <v>132.69999999999999</v>
      </c>
      <c r="AF148">
        <f t="shared" ref="AF148:AQ148" si="10">AVERAGE(E146:E148)</f>
        <v>138.30000000000001</v>
      </c>
      <c r="AG148">
        <f t="shared" si="10"/>
        <v>132.23333333333332</v>
      </c>
      <c r="AH148">
        <f t="shared" si="10"/>
        <v>135.06666666666663</v>
      </c>
      <c r="AI148">
        <f t="shared" si="10"/>
        <v>118.36666666666667</v>
      </c>
      <c r="AJ148">
        <f t="shared" si="10"/>
        <v>132.86666666666667</v>
      </c>
      <c r="AK148">
        <f t="shared" si="10"/>
        <v>119.3</v>
      </c>
      <c r="AL148">
        <f t="shared" si="10"/>
        <v>158.76666666666665</v>
      </c>
      <c r="AM148">
        <f t="shared" si="10"/>
        <v>115.89999999999999</v>
      </c>
      <c r="AN148">
        <f t="shared" si="10"/>
        <v>140.46666666666667</v>
      </c>
      <c r="AO148">
        <f t="shared" si="10"/>
        <v>126.26666666666665</v>
      </c>
      <c r="AP148">
        <f t="shared" si="10"/>
        <v>142.76666666666668</v>
      </c>
      <c r="AQ148">
        <f t="shared" si="10"/>
        <v>132.93333333333331</v>
      </c>
      <c r="AR148">
        <f>AVERAGE(AD146:AD148)</f>
        <v>130.16666666666666</v>
      </c>
    </row>
    <row r="149" spans="1:44" hidden="1"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44" hidden="1"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44"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f>AVERAGE(D149:D151)</f>
        <v>133.06666666666669</v>
      </c>
      <c r="AF151">
        <f t="shared" ref="AF151:AQ151" si="11">AVERAGE(E149:E151)</f>
        <v>138.96666666666667</v>
      </c>
      <c r="AG151">
        <f t="shared" si="11"/>
        <v>129.30000000000001</v>
      </c>
      <c r="AH151">
        <f t="shared" si="11"/>
        <v>135.5</v>
      </c>
      <c r="AI151">
        <f t="shared" si="11"/>
        <v>118.53333333333332</v>
      </c>
      <c r="AJ151">
        <f t="shared" si="11"/>
        <v>135.13333333333335</v>
      </c>
      <c r="AK151">
        <f t="shared" si="11"/>
        <v>119.60000000000001</v>
      </c>
      <c r="AL151">
        <f t="shared" si="11"/>
        <v>150.73333333333332</v>
      </c>
      <c r="AM151">
        <f t="shared" si="11"/>
        <v>117.66666666666667</v>
      </c>
      <c r="AN151">
        <f t="shared" si="11"/>
        <v>139.56666666666666</v>
      </c>
      <c r="AO151">
        <f t="shared" si="11"/>
        <v>126.56666666666668</v>
      </c>
      <c r="AP151">
        <f t="shared" si="11"/>
        <v>143.16666666666666</v>
      </c>
      <c r="AQ151">
        <f t="shared" si="11"/>
        <v>132.9</v>
      </c>
      <c r="AR151">
        <f>AVERAGE(AD149:AD151)</f>
        <v>130.46666666666667</v>
      </c>
    </row>
    <row r="152" spans="1:44" hidden="1"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c r="AE152">
        <f>AVERAGE(D152:D154)</f>
        <v>133.19999999999999</v>
      </c>
    </row>
    <row r="153" spans="1:44" hidden="1"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44"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f>AVERAGE(D152:D154)</f>
        <v>133.19999999999999</v>
      </c>
      <c r="AF154">
        <f t="shared" ref="AF154:AQ154" si="12">AVERAGE(E152:E154)</f>
        <v>139.06666666666669</v>
      </c>
      <c r="AG154">
        <f t="shared" si="12"/>
        <v>128.60000000000002</v>
      </c>
      <c r="AH154">
        <f t="shared" si="12"/>
        <v>136.13333333333335</v>
      </c>
      <c r="AI154">
        <f t="shared" si="12"/>
        <v>118.13333333333333</v>
      </c>
      <c r="AJ154">
        <f t="shared" si="12"/>
        <v>138.26666666666668</v>
      </c>
      <c r="AK154">
        <f t="shared" si="12"/>
        <v>120.8</v>
      </c>
      <c r="AL154">
        <f t="shared" si="12"/>
        <v>142.56666666666669</v>
      </c>
      <c r="AM154">
        <f t="shared" si="12"/>
        <v>118.39999999999999</v>
      </c>
      <c r="AN154">
        <f t="shared" si="12"/>
        <v>138.70000000000002</v>
      </c>
      <c r="AO154">
        <f t="shared" si="12"/>
        <v>126.86666666666667</v>
      </c>
      <c r="AP154">
        <f t="shared" si="12"/>
        <v>143.93333333333334</v>
      </c>
      <c r="AQ154">
        <f t="shared" si="12"/>
        <v>133.03333333333333</v>
      </c>
      <c r="AR154">
        <f>AVERAGE(AD152:AD154)</f>
        <v>130.79999999999998</v>
      </c>
    </row>
    <row r="155" spans="1:44" hidden="1"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44" hidden="1"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44"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f>AVERAGE(D155:D157)</f>
        <v>132.96666666666667</v>
      </c>
      <c r="AF157">
        <f t="shared" ref="AF157:AQ157" si="13">AVERAGE(E155:E157)</f>
        <v>139.56666666666663</v>
      </c>
      <c r="AG157">
        <f t="shared" si="13"/>
        <v>125.89999999999999</v>
      </c>
      <c r="AH157">
        <f t="shared" si="13"/>
        <v>137.06666666666666</v>
      </c>
      <c r="AI157">
        <f t="shared" si="13"/>
        <v>117.73333333333335</v>
      </c>
      <c r="AJ157">
        <f t="shared" si="13"/>
        <v>139.79999999999998</v>
      </c>
      <c r="AK157">
        <f t="shared" si="13"/>
        <v>124</v>
      </c>
      <c r="AL157">
        <f t="shared" si="13"/>
        <v>139.73333333333335</v>
      </c>
      <c r="AM157">
        <f t="shared" si="13"/>
        <v>118.89999999999999</v>
      </c>
      <c r="AN157">
        <f t="shared" si="13"/>
        <v>137.29999999999998</v>
      </c>
      <c r="AO157">
        <f t="shared" si="13"/>
        <v>127.06666666666668</v>
      </c>
      <c r="AP157">
        <f t="shared" si="13"/>
        <v>144.1</v>
      </c>
      <c r="AQ157">
        <f t="shared" si="13"/>
        <v>133.46666666666667</v>
      </c>
      <c r="AR157">
        <f>AVERAGE(AD155:AD157)</f>
        <v>131.03333333333333</v>
      </c>
    </row>
    <row r="158" spans="1:44" hidden="1"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44" hidden="1"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44"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f>AVERAGE(D158:D160)</f>
        <v>132.86666666666667</v>
      </c>
      <c r="AF160">
        <f t="shared" ref="AF160:AQ160" si="14">AVERAGE(E158:E160)</f>
        <v>142</v>
      </c>
      <c r="AG160">
        <f t="shared" si="14"/>
        <v>126.23333333333333</v>
      </c>
      <c r="AH160">
        <f t="shared" si="14"/>
        <v>137.56666666666666</v>
      </c>
      <c r="AI160">
        <f t="shared" si="14"/>
        <v>117.43333333333332</v>
      </c>
      <c r="AJ160">
        <f t="shared" si="14"/>
        <v>137.76666666666665</v>
      </c>
      <c r="AK160">
        <f t="shared" si="14"/>
        <v>126.2</v>
      </c>
      <c r="AL160">
        <f t="shared" si="14"/>
        <v>137.20000000000002</v>
      </c>
      <c r="AM160">
        <f t="shared" si="14"/>
        <v>119.66666666666667</v>
      </c>
      <c r="AN160">
        <f t="shared" si="14"/>
        <v>136.63333333333333</v>
      </c>
      <c r="AO160">
        <f t="shared" si="14"/>
        <v>127.23333333333335</v>
      </c>
      <c r="AP160">
        <f t="shared" si="14"/>
        <v>144.4</v>
      </c>
      <c r="AQ160">
        <f t="shared" si="14"/>
        <v>133.69999999999999</v>
      </c>
      <c r="AR160">
        <f>AVERAGE(AD158:AD160)</f>
        <v>131.33333333333334</v>
      </c>
    </row>
    <row r="161" spans="1:44" hidden="1"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44" hidden="1"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44"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f>AVERAGE(D161:D163)</f>
        <v>133.23333333333332</v>
      </c>
      <c r="AF163">
        <f t="shared" ref="AF163:AQ163" si="15">AVERAGE(E161:E163)</f>
        <v>145.96666666666667</v>
      </c>
      <c r="AG163">
        <f t="shared" si="15"/>
        <v>128.13333333333333</v>
      </c>
      <c r="AH163">
        <f t="shared" si="15"/>
        <v>138</v>
      </c>
      <c r="AI163">
        <f t="shared" si="15"/>
        <v>117.53333333333335</v>
      </c>
      <c r="AJ163">
        <f t="shared" si="15"/>
        <v>139.1</v>
      </c>
      <c r="AK163">
        <f t="shared" si="15"/>
        <v>134.76666666666668</v>
      </c>
      <c r="AL163">
        <f t="shared" si="15"/>
        <v>134.86666666666665</v>
      </c>
      <c r="AM163">
        <f t="shared" si="15"/>
        <v>119.8</v>
      </c>
      <c r="AN163">
        <f t="shared" si="15"/>
        <v>135.86666666666667</v>
      </c>
      <c r="AO163">
        <f t="shared" si="15"/>
        <v>127.46666666666668</v>
      </c>
      <c r="AP163">
        <f t="shared" si="15"/>
        <v>144.83333333333334</v>
      </c>
      <c r="AQ163">
        <f t="shared" si="15"/>
        <v>135.26666666666668</v>
      </c>
      <c r="AR163">
        <f>AVERAGE(AD161:AD163)</f>
        <v>131.93333333333334</v>
      </c>
    </row>
    <row r="164" spans="1:44" hidden="1"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44" hidden="1"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44"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f>AVERAGE(D164:D166)</f>
        <v>133.46666666666667</v>
      </c>
      <c r="AF166">
        <f t="shared" ref="AF166:AQ166" si="16">AVERAGE(E164:E166)</f>
        <v>146.1</v>
      </c>
      <c r="AG166">
        <f t="shared" si="16"/>
        <v>129.60000000000002</v>
      </c>
      <c r="AH166">
        <f t="shared" si="16"/>
        <v>138.4</v>
      </c>
      <c r="AI166">
        <f t="shared" si="16"/>
        <v>117.46666666666665</v>
      </c>
      <c r="AJ166">
        <f t="shared" si="16"/>
        <v>141.70000000000002</v>
      </c>
      <c r="AK166">
        <f t="shared" si="16"/>
        <v>162.03333333333333</v>
      </c>
      <c r="AL166">
        <f t="shared" si="16"/>
        <v>132.13333333333333</v>
      </c>
      <c r="AM166">
        <f t="shared" si="16"/>
        <v>120.66666666666667</v>
      </c>
      <c r="AN166">
        <f t="shared" si="16"/>
        <v>135.63333333333335</v>
      </c>
      <c r="AO166">
        <f t="shared" si="16"/>
        <v>128.1</v>
      </c>
      <c r="AP166">
        <f t="shared" si="16"/>
        <v>145.73333333333332</v>
      </c>
      <c r="AQ166">
        <f t="shared" si="16"/>
        <v>139.1</v>
      </c>
      <c r="AR166">
        <f>AVERAGE(AD164:AD166)</f>
        <v>134.06666666666666</v>
      </c>
    </row>
    <row r="167" spans="1:44" hidden="1"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44" hidden="1"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44"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f>AVERAGE(D167:D169)</f>
        <v>134.1</v>
      </c>
      <c r="AF169">
        <f t="shared" ref="AF169:AQ169" si="17">AVERAGE(E167:E169)</f>
        <v>143.46666666666667</v>
      </c>
      <c r="AG169">
        <f t="shared" si="17"/>
        <v>129.20000000000002</v>
      </c>
      <c r="AH169">
        <f t="shared" si="17"/>
        <v>138.9</v>
      </c>
      <c r="AI169">
        <f t="shared" si="17"/>
        <v>117.56666666666666</v>
      </c>
      <c r="AJ169">
        <f t="shared" si="17"/>
        <v>145.4</v>
      </c>
      <c r="AK169">
        <f t="shared" si="17"/>
        <v>170.43333333333337</v>
      </c>
      <c r="AL169">
        <f t="shared" si="17"/>
        <v>131.19999999999999</v>
      </c>
      <c r="AM169">
        <f t="shared" si="17"/>
        <v>121.36666666666666</v>
      </c>
      <c r="AN169">
        <f t="shared" si="17"/>
        <v>135.93333333333331</v>
      </c>
      <c r="AO169">
        <f t="shared" si="17"/>
        <v>128.29999999999998</v>
      </c>
      <c r="AP169">
        <f t="shared" si="17"/>
        <v>146.66666666666666</v>
      </c>
      <c r="AQ169">
        <f t="shared" si="17"/>
        <v>140.56666666666669</v>
      </c>
      <c r="AR169">
        <f>AVERAGE(AD167:AD169)</f>
        <v>135.29999999999998</v>
      </c>
    </row>
    <row r="170" spans="1:44" hidden="1"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44" hidden="1"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44"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f>AVERAGE(D170:D172)</f>
        <v>134.49999999999997</v>
      </c>
      <c r="AF172">
        <f t="shared" ref="AF172:AQ172" si="18">AVERAGE(E170:E172)</f>
        <v>142.46666666666667</v>
      </c>
      <c r="AG172">
        <f t="shared" si="18"/>
        <v>130.13333333333333</v>
      </c>
      <c r="AH172">
        <f t="shared" si="18"/>
        <v>139.5</v>
      </c>
      <c r="AI172">
        <f t="shared" si="18"/>
        <v>117.86666666666667</v>
      </c>
      <c r="AJ172">
        <f t="shared" si="18"/>
        <v>142.76666666666668</v>
      </c>
      <c r="AK172">
        <f t="shared" si="18"/>
        <v>157.26666666666665</v>
      </c>
      <c r="AL172">
        <f t="shared" si="18"/>
        <v>131.5</v>
      </c>
      <c r="AM172">
        <f t="shared" si="18"/>
        <v>121.63333333333333</v>
      </c>
      <c r="AN172">
        <f t="shared" si="18"/>
        <v>135.86666666666667</v>
      </c>
      <c r="AO172">
        <f t="shared" si="18"/>
        <v>128.43333333333334</v>
      </c>
      <c r="AP172">
        <f t="shared" si="18"/>
        <v>147.20000000000002</v>
      </c>
      <c r="AQ172">
        <f t="shared" si="18"/>
        <v>138.86666666666667</v>
      </c>
      <c r="AR172">
        <f>AVERAGE(AD170:AD172)</f>
        <v>135.06666666666666</v>
      </c>
    </row>
    <row r="173" spans="1:44" hidden="1"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44" hidden="1"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44"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f>AVERAGE(D173:D175)</f>
        <v>135.03333333333333</v>
      </c>
      <c r="AF175">
        <f t="shared" ref="AF175:AQ175" si="19">AVERAGE(E173:E175)</f>
        <v>142.30000000000001</v>
      </c>
      <c r="AG175">
        <f t="shared" si="19"/>
        <v>131.19999999999999</v>
      </c>
      <c r="AH175">
        <f t="shared" si="19"/>
        <v>140.4</v>
      </c>
      <c r="AI175">
        <f t="shared" si="19"/>
        <v>118.43333333333334</v>
      </c>
      <c r="AJ175">
        <f t="shared" si="19"/>
        <v>141.26666666666665</v>
      </c>
      <c r="AK175">
        <f t="shared" si="19"/>
        <v>164.29999999999998</v>
      </c>
      <c r="AL175">
        <f t="shared" si="19"/>
        <v>130.93333333333334</v>
      </c>
      <c r="AM175">
        <f t="shared" si="19"/>
        <v>121.93333333333334</v>
      </c>
      <c r="AN175">
        <f t="shared" si="19"/>
        <v>136.56666666666666</v>
      </c>
      <c r="AO175">
        <f t="shared" si="19"/>
        <v>128.36666666666665</v>
      </c>
      <c r="AP175">
        <f t="shared" si="19"/>
        <v>147.96666666666667</v>
      </c>
      <c r="AQ175">
        <f t="shared" si="19"/>
        <v>140.06666666666669</v>
      </c>
      <c r="AR175">
        <f>AVERAGE(AD173:AD175)</f>
        <v>135.96666666666667</v>
      </c>
    </row>
    <row r="176" spans="1:44" hidden="1"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44" hidden="1"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44"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f>AVERAGE(D176:D178)</f>
        <v>135.43333333333334</v>
      </c>
      <c r="AF178">
        <f t="shared" ref="AF178:AQ178" si="20">AVERAGE(E176:E178)</f>
        <v>142.33333333333334</v>
      </c>
      <c r="AG178">
        <f t="shared" si="20"/>
        <v>143.36666666666667</v>
      </c>
      <c r="AH178">
        <f t="shared" si="20"/>
        <v>140.6</v>
      </c>
      <c r="AI178">
        <f t="shared" si="20"/>
        <v>118.66666666666667</v>
      </c>
      <c r="AJ178">
        <f t="shared" si="20"/>
        <v>141.96666666666667</v>
      </c>
      <c r="AK178">
        <f t="shared" si="20"/>
        <v>175.66666666666666</v>
      </c>
      <c r="AL178">
        <f t="shared" si="20"/>
        <v>129.73333333333332</v>
      </c>
      <c r="AM178">
        <f t="shared" si="20"/>
        <v>123.13333333333333</v>
      </c>
      <c r="AN178">
        <f t="shared" si="20"/>
        <v>137.03333333333333</v>
      </c>
      <c r="AO178">
        <f t="shared" si="20"/>
        <v>128.83333333333334</v>
      </c>
      <c r="AP178">
        <f t="shared" si="20"/>
        <v>148.76666666666665</v>
      </c>
      <c r="AQ178">
        <f t="shared" si="20"/>
        <v>142</v>
      </c>
      <c r="AR178">
        <f>AVERAGE(AD176:AD178)</f>
        <v>137.46666666666667</v>
      </c>
    </row>
    <row r="179" spans="1:44" hidden="1"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44" hidden="1"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44"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f>AVERAGE(D179:D181)</f>
        <v>135.53333333333333</v>
      </c>
      <c r="AF181">
        <f t="shared" ref="AF181:AQ181" si="21">AVERAGE(E179:E181)</f>
        <v>143.19999999999999</v>
      </c>
      <c r="AG181">
        <f t="shared" si="21"/>
        <v>145.30000000000001</v>
      </c>
      <c r="AH181">
        <f t="shared" si="21"/>
        <v>140.79999999999998</v>
      </c>
      <c r="AI181">
        <f t="shared" si="21"/>
        <v>119.83333333333333</v>
      </c>
      <c r="AJ181">
        <f t="shared" si="21"/>
        <v>141.23333333333332</v>
      </c>
      <c r="AK181">
        <f t="shared" si="21"/>
        <v>161.96666666666667</v>
      </c>
      <c r="AL181">
        <f t="shared" si="21"/>
        <v>127.56666666666668</v>
      </c>
      <c r="AM181">
        <f t="shared" si="21"/>
        <v>121.36666666666667</v>
      </c>
      <c r="AN181">
        <f t="shared" si="21"/>
        <v>137.53333333333333</v>
      </c>
      <c r="AO181">
        <f t="shared" si="21"/>
        <v>128.53333333333333</v>
      </c>
      <c r="AP181">
        <f t="shared" si="21"/>
        <v>148.9</v>
      </c>
      <c r="AQ181">
        <f t="shared" si="21"/>
        <v>140.26666666666668</v>
      </c>
      <c r="AR181">
        <f>AVERAGE(AD179:AD181)</f>
        <v>137.03333333333333</v>
      </c>
    </row>
    <row r="182" spans="1:44" hidden="1"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44" hidden="1"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44"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f>AVERAGE(D182:D184)</f>
        <v>135.73333333333332</v>
      </c>
      <c r="AF184">
        <f t="shared" ref="AF184:AQ184" si="22">AVERAGE(E182:E184)</f>
        <v>144.1</v>
      </c>
      <c r="AG184">
        <f t="shared" si="22"/>
        <v>143.69999999999999</v>
      </c>
      <c r="AH184">
        <f t="shared" si="22"/>
        <v>140.9</v>
      </c>
      <c r="AI184">
        <f t="shared" si="22"/>
        <v>120.10000000000001</v>
      </c>
      <c r="AJ184">
        <f t="shared" si="22"/>
        <v>141.00000000000003</v>
      </c>
      <c r="AK184">
        <f t="shared" si="22"/>
        <v>151.4</v>
      </c>
      <c r="AL184">
        <f t="shared" si="22"/>
        <v>125.83333333333333</v>
      </c>
      <c r="AM184">
        <f t="shared" si="22"/>
        <v>118.53333333333335</v>
      </c>
      <c r="AN184">
        <f t="shared" si="22"/>
        <v>138</v>
      </c>
      <c r="AO184">
        <f t="shared" si="22"/>
        <v>128.70000000000002</v>
      </c>
      <c r="AP184">
        <f t="shared" si="22"/>
        <v>149.36666666666667</v>
      </c>
      <c r="AQ184">
        <f t="shared" si="22"/>
        <v>138.93333333333334</v>
      </c>
      <c r="AR184">
        <f>AVERAGE(AD182:AD184)</f>
        <v>136.76666666666665</v>
      </c>
    </row>
    <row r="185" spans="1:44" hidden="1"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44" hidden="1"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44"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f>AVERAGE(D185:D187)</f>
        <v>135.70000000000002</v>
      </c>
      <c r="AF187">
        <f t="shared" ref="AF187:AQ187" si="23">AVERAGE(E185:E187)</f>
        <v>143.4</v>
      </c>
      <c r="AG187">
        <f t="shared" si="23"/>
        <v>140.26666666666668</v>
      </c>
      <c r="AH187">
        <f t="shared" si="23"/>
        <v>140.76666666666665</v>
      </c>
      <c r="AI187">
        <f t="shared" si="23"/>
        <v>119.83333333333333</v>
      </c>
      <c r="AJ187">
        <f t="shared" si="23"/>
        <v>142.6</v>
      </c>
      <c r="AK187">
        <f t="shared" si="23"/>
        <v>139.93333333333334</v>
      </c>
      <c r="AL187">
        <f t="shared" si="23"/>
        <v>124.33333333333333</v>
      </c>
      <c r="AM187">
        <f t="shared" si="23"/>
        <v>116.8</v>
      </c>
      <c r="AN187">
        <f t="shared" si="23"/>
        <v>137.86666666666665</v>
      </c>
      <c r="AO187">
        <f t="shared" si="23"/>
        <v>128.33333333333334</v>
      </c>
      <c r="AP187">
        <f t="shared" si="23"/>
        <v>149.46666666666667</v>
      </c>
      <c r="AQ187">
        <f t="shared" si="23"/>
        <v>137.29999999999998</v>
      </c>
      <c r="AR187">
        <f>AVERAGE(AD185:AD187)</f>
        <v>136.29999999999998</v>
      </c>
    </row>
    <row r="188" spans="1:44" hidden="1"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44" hidden="1"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44"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f>AVERAGE(D188:D190)</f>
        <v>136</v>
      </c>
      <c r="AF190">
        <f t="shared" ref="AF190:AQ190" si="24">AVERAGE(E188:E190)</f>
        <v>143.5</v>
      </c>
      <c r="AG190">
        <f t="shared" si="24"/>
        <v>137.93333333333334</v>
      </c>
      <c r="AH190">
        <f t="shared" si="24"/>
        <v>141.03333333333333</v>
      </c>
      <c r="AI190">
        <f t="shared" si="24"/>
        <v>120.13333333333333</v>
      </c>
      <c r="AJ190">
        <f t="shared" si="24"/>
        <v>145.86666666666665</v>
      </c>
      <c r="AK190">
        <f t="shared" si="24"/>
        <v>133.53333333333333</v>
      </c>
      <c r="AL190">
        <f t="shared" si="24"/>
        <v>123.13333333333333</v>
      </c>
      <c r="AM190">
        <f t="shared" si="24"/>
        <v>115.8</v>
      </c>
      <c r="AN190">
        <f t="shared" si="24"/>
        <v>138.26666666666668</v>
      </c>
      <c r="AO190">
        <f t="shared" si="24"/>
        <v>128.83333333333334</v>
      </c>
      <c r="AP190">
        <f t="shared" si="24"/>
        <v>150.26666666666665</v>
      </c>
      <c r="AQ190">
        <f t="shared" si="24"/>
        <v>136.86666666666665</v>
      </c>
      <c r="AR190">
        <f>AVERAGE(AD188:AD190)</f>
        <v>136.4</v>
      </c>
    </row>
    <row r="191" spans="1:44" hidden="1"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44" hidden="1"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44"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f>AVERAGE(D191:D193)</f>
        <v>136.16666666666666</v>
      </c>
      <c r="AF193">
        <f t="shared" ref="AF193:AQ193" si="25">AVERAGE(E191:E193)</f>
        <v>144.4</v>
      </c>
      <c r="AG193">
        <f t="shared" si="25"/>
        <v>133.53333333333333</v>
      </c>
      <c r="AH193">
        <f t="shared" si="25"/>
        <v>141.43333333333337</v>
      </c>
      <c r="AI193">
        <f t="shared" si="25"/>
        <v>120.36666666666667</v>
      </c>
      <c r="AJ193">
        <f t="shared" si="25"/>
        <v>153.33333333333334</v>
      </c>
      <c r="AK193">
        <f t="shared" si="25"/>
        <v>131.76666666666665</v>
      </c>
      <c r="AL193">
        <f t="shared" si="25"/>
        <v>121.96666666666665</v>
      </c>
      <c r="AM193">
        <f t="shared" si="25"/>
        <v>113.16666666666667</v>
      </c>
      <c r="AN193">
        <f t="shared" si="25"/>
        <v>138.53333333333333</v>
      </c>
      <c r="AO193">
        <f t="shared" si="25"/>
        <v>129.33333333333334</v>
      </c>
      <c r="AP193">
        <f t="shared" si="25"/>
        <v>151.1</v>
      </c>
      <c r="AQ193">
        <f t="shared" si="25"/>
        <v>137.26666666666665</v>
      </c>
      <c r="AR193">
        <f>AVERAGE(AD191:AD193)</f>
        <v>137</v>
      </c>
    </row>
    <row r="194" spans="1:44" hidden="1"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44" hidden="1"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44"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f>AVERAGE(D194:D196)</f>
        <v>136.33333333333334</v>
      </c>
      <c r="AF196">
        <f t="shared" ref="AF196:AQ196" si="26">AVERAGE(E194:E196)</f>
        <v>146.83333333333334</v>
      </c>
      <c r="AG196">
        <f t="shared" si="26"/>
        <v>133.20000000000002</v>
      </c>
      <c r="AH196">
        <f t="shared" si="26"/>
        <v>141.9</v>
      </c>
      <c r="AI196">
        <f t="shared" si="26"/>
        <v>120.33333333333333</v>
      </c>
      <c r="AJ196">
        <f t="shared" si="26"/>
        <v>154.46666666666667</v>
      </c>
      <c r="AK196">
        <f t="shared" si="26"/>
        <v>134.93333333333337</v>
      </c>
      <c r="AL196">
        <f t="shared" si="26"/>
        <v>120.76666666666667</v>
      </c>
      <c r="AM196">
        <f t="shared" si="26"/>
        <v>108.89999999999999</v>
      </c>
      <c r="AN196">
        <f t="shared" si="26"/>
        <v>138.36666666666667</v>
      </c>
      <c r="AO196">
        <f t="shared" si="26"/>
        <v>129.56666666666663</v>
      </c>
      <c r="AP196">
        <f t="shared" si="26"/>
        <v>151.56666666666666</v>
      </c>
      <c r="AQ196">
        <f t="shared" si="26"/>
        <v>137.86666666666667</v>
      </c>
      <c r="AR196">
        <f>AVERAGE(AD194:AD196)</f>
        <v>137.66666666666669</v>
      </c>
    </row>
    <row r="197" spans="1:44" hidden="1"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44" hidden="1"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44"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f>AVERAGE(D197:D199)</f>
        <v>136.6</v>
      </c>
      <c r="AF199">
        <f t="shared" ref="AF199:AQ199" si="27">AVERAGE(E197:E199)</f>
        <v>148.83333333333331</v>
      </c>
      <c r="AG199">
        <f t="shared" si="27"/>
        <v>135.4</v>
      </c>
      <c r="AH199">
        <f t="shared" si="27"/>
        <v>142.1</v>
      </c>
      <c r="AI199">
        <f t="shared" si="27"/>
        <v>120.63333333333333</v>
      </c>
      <c r="AJ199">
        <f t="shared" si="27"/>
        <v>153.16666666666666</v>
      </c>
      <c r="AK199">
        <f t="shared" si="27"/>
        <v>143.73333333333332</v>
      </c>
      <c r="AL199">
        <f t="shared" si="27"/>
        <v>119.90000000000002</v>
      </c>
      <c r="AM199">
        <f t="shared" si="27"/>
        <v>110.63333333333333</v>
      </c>
      <c r="AN199">
        <f t="shared" si="27"/>
        <v>138.66666666666666</v>
      </c>
      <c r="AO199">
        <f t="shared" si="27"/>
        <v>129.93333333333334</v>
      </c>
      <c r="AP199">
        <f t="shared" si="27"/>
        <v>151.70000000000002</v>
      </c>
      <c r="AQ199">
        <f t="shared" si="27"/>
        <v>139.26666666666665</v>
      </c>
      <c r="AR199">
        <f>AVERAGE(AD197:AD199)</f>
        <v>138.4</v>
      </c>
    </row>
    <row r="200" spans="1:44" hidden="1"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44" hidden="1"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44"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f>AVERAGE(D200:D202)</f>
        <v>137.16666666666666</v>
      </c>
      <c r="AF202">
        <f t="shared" ref="AF202:AQ202" si="28">AVERAGE(E200:E202)</f>
        <v>149</v>
      </c>
      <c r="AG202">
        <f t="shared" si="28"/>
        <v>139.19999999999999</v>
      </c>
      <c r="AH202">
        <f t="shared" si="28"/>
        <v>142.29999999999998</v>
      </c>
      <c r="AI202">
        <f t="shared" si="28"/>
        <v>120.73333333333335</v>
      </c>
      <c r="AJ202">
        <f t="shared" si="28"/>
        <v>151.53333333333333</v>
      </c>
      <c r="AK202">
        <f t="shared" si="28"/>
        <v>156.43333333333331</v>
      </c>
      <c r="AL202">
        <f t="shared" si="28"/>
        <v>120.23333333333333</v>
      </c>
      <c r="AM202">
        <f t="shared" si="28"/>
        <v>113.2</v>
      </c>
      <c r="AN202">
        <f t="shared" si="28"/>
        <v>139.13333333333333</v>
      </c>
      <c r="AO202">
        <f t="shared" si="28"/>
        <v>129.96666666666667</v>
      </c>
      <c r="AP202">
        <f t="shared" si="28"/>
        <v>152.16666666666669</v>
      </c>
      <c r="AQ202">
        <f t="shared" si="28"/>
        <v>141.23333333333335</v>
      </c>
      <c r="AR202">
        <f>AVERAGE(AD200:AD202)</f>
        <v>139.70000000000002</v>
      </c>
    </row>
    <row r="203" spans="1:44" hidden="1"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44" hidden="1"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44"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f>AVERAGE(D203:D205)</f>
        <v>138</v>
      </c>
      <c r="AF205">
        <f t="shared" ref="AF205:AQ205" si="29">AVERAGE(E203:E205)</f>
        <v>147.73333333333335</v>
      </c>
      <c r="AG205">
        <f t="shared" si="29"/>
        <v>137.93333333333331</v>
      </c>
      <c r="AH205">
        <f t="shared" si="29"/>
        <v>142.43333333333331</v>
      </c>
      <c r="AI205">
        <f t="shared" si="29"/>
        <v>121.53333333333335</v>
      </c>
      <c r="AJ205">
        <f t="shared" si="29"/>
        <v>150.43333333333337</v>
      </c>
      <c r="AK205">
        <f t="shared" si="29"/>
        <v>156.73333333333335</v>
      </c>
      <c r="AL205">
        <f t="shared" si="29"/>
        <v>120.93333333333332</v>
      </c>
      <c r="AM205">
        <f t="shared" si="29"/>
        <v>114.46666666666665</v>
      </c>
      <c r="AN205">
        <f t="shared" si="29"/>
        <v>139.70000000000002</v>
      </c>
      <c r="AO205">
        <f t="shared" si="29"/>
        <v>130.76666666666668</v>
      </c>
      <c r="AP205">
        <f t="shared" si="29"/>
        <v>152.86666666666667</v>
      </c>
      <c r="AQ205">
        <f t="shared" si="29"/>
        <v>141.49999999999997</v>
      </c>
      <c r="AR205">
        <f>AVERAGE(AD203:AD205)</f>
        <v>140.29999999999998</v>
      </c>
    </row>
    <row r="206" spans="1:44" hidden="1"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44" hidden="1"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44"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f>AVERAGE(D206:D208)</f>
        <v>138.33333333333334</v>
      </c>
      <c r="AF208">
        <f t="shared" ref="AF208:AQ208" si="30">AVERAGE(E206:E208)</f>
        <v>145.36666666666665</v>
      </c>
      <c r="AG208">
        <f t="shared" si="30"/>
        <v>134.83333333333334</v>
      </c>
      <c r="AH208">
        <f t="shared" si="30"/>
        <v>142.70000000000002</v>
      </c>
      <c r="AI208">
        <f t="shared" si="30"/>
        <v>121.5</v>
      </c>
      <c r="AJ208">
        <f t="shared" si="30"/>
        <v>145.16666666666666</v>
      </c>
      <c r="AK208">
        <f t="shared" si="30"/>
        <v>150.23333333333335</v>
      </c>
      <c r="AL208">
        <f t="shared" si="30"/>
        <v>120.10000000000001</v>
      </c>
      <c r="AM208">
        <f t="shared" si="30"/>
        <v>113.46666666666665</v>
      </c>
      <c r="AN208">
        <f t="shared" si="30"/>
        <v>139.79999999999998</v>
      </c>
      <c r="AO208">
        <f t="shared" si="30"/>
        <v>130.53333333333333</v>
      </c>
      <c r="AP208">
        <f t="shared" si="30"/>
        <v>153.66666666666669</v>
      </c>
      <c r="AQ208">
        <f t="shared" si="30"/>
        <v>140.20000000000002</v>
      </c>
      <c r="AR208">
        <f>AVERAGE(AD206:AD208)</f>
        <v>140.13333333333333</v>
      </c>
    </row>
    <row r="209" spans="1:44" hidden="1"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44" hidden="1"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44"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f>AVERAGE(D209:D211)</f>
        <v>138.1</v>
      </c>
      <c r="AF211">
        <f t="shared" ref="AF211:AQ211" si="31">AVERAGE(E209:E211)</f>
        <v>147.33333333333334</v>
      </c>
      <c r="AG211">
        <f t="shared" si="31"/>
        <v>135.13333333333335</v>
      </c>
      <c r="AH211">
        <f t="shared" si="31"/>
        <v>141.76666666666665</v>
      </c>
      <c r="AI211">
        <f t="shared" si="31"/>
        <v>120.86666666666667</v>
      </c>
      <c r="AJ211">
        <f t="shared" si="31"/>
        <v>142.16666666666666</v>
      </c>
      <c r="AK211">
        <f t="shared" si="31"/>
        <v>149.1</v>
      </c>
      <c r="AL211">
        <f t="shared" si="31"/>
        <v>117.90000000000002</v>
      </c>
      <c r="AM211">
        <f t="shared" si="31"/>
        <v>112.33333333333333</v>
      </c>
      <c r="AN211">
        <f t="shared" si="31"/>
        <v>140.53333333333333</v>
      </c>
      <c r="AO211">
        <f t="shared" si="31"/>
        <v>131.93333333333331</v>
      </c>
      <c r="AP211">
        <f t="shared" si="31"/>
        <v>153.9</v>
      </c>
      <c r="AQ211">
        <f t="shared" si="31"/>
        <v>139.76666666666668</v>
      </c>
      <c r="AR211">
        <f>AVERAGE(AD209:AD211)</f>
        <v>140.63333333333335</v>
      </c>
    </row>
    <row r="212" spans="1:44" hidden="1"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44" hidden="1"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44"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f>AVERAGE(D212:D214)</f>
        <v>137.53333333333333</v>
      </c>
      <c r="AF214">
        <f t="shared" ref="AF214:AQ214" si="32">AVERAGE(E212:E214)</f>
        <v>148.76666666666668</v>
      </c>
      <c r="AG214">
        <f t="shared" si="32"/>
        <v>137.20000000000002</v>
      </c>
      <c r="AH214">
        <f t="shared" si="32"/>
        <v>141.76666666666668</v>
      </c>
      <c r="AI214">
        <f t="shared" si="32"/>
        <v>120.66666666666667</v>
      </c>
      <c r="AJ214">
        <f t="shared" si="32"/>
        <v>142.73333333333332</v>
      </c>
      <c r="AK214">
        <f t="shared" si="32"/>
        <v>146.46666666666667</v>
      </c>
      <c r="AL214">
        <f t="shared" si="32"/>
        <v>118.46666666666665</v>
      </c>
      <c r="AM214">
        <f t="shared" si="32"/>
        <v>112</v>
      </c>
      <c r="AN214">
        <f t="shared" si="32"/>
        <v>140.96666666666667</v>
      </c>
      <c r="AO214">
        <f t="shared" si="32"/>
        <v>133</v>
      </c>
      <c r="AP214">
        <f t="shared" si="32"/>
        <v>154.4</v>
      </c>
      <c r="AQ214">
        <f t="shared" si="32"/>
        <v>139.6</v>
      </c>
      <c r="AR214">
        <f>AVERAGE(AD212:AD214)</f>
        <v>140.73333333333332</v>
      </c>
    </row>
    <row r="215" spans="1:44" hidden="1"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44" hidden="1"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44"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f>AVERAGE(D215:D217)</f>
        <v>137.70000000000002</v>
      </c>
      <c r="AF217">
        <f t="shared" ref="AF217:AQ217" si="33">AVERAGE(E215:E217)</f>
        <v>150.06666666666669</v>
      </c>
      <c r="AG217">
        <f t="shared" si="33"/>
        <v>139.1</v>
      </c>
      <c r="AH217">
        <f t="shared" si="33"/>
        <v>142.03333333333333</v>
      </c>
      <c r="AI217">
        <f t="shared" si="33"/>
        <v>121.43333333333334</v>
      </c>
      <c r="AJ217">
        <f t="shared" si="33"/>
        <v>139.36666666666667</v>
      </c>
      <c r="AK217">
        <f t="shared" si="33"/>
        <v>134.73333333333332</v>
      </c>
      <c r="AL217">
        <f t="shared" si="33"/>
        <v>119.39999999999999</v>
      </c>
      <c r="AM217">
        <f t="shared" si="33"/>
        <v>110.39999999999999</v>
      </c>
      <c r="AN217">
        <f t="shared" si="33"/>
        <v>140.76666666666665</v>
      </c>
      <c r="AO217">
        <f t="shared" si="33"/>
        <v>133.23333333333332</v>
      </c>
      <c r="AP217">
        <f t="shared" si="33"/>
        <v>154.5</v>
      </c>
      <c r="AQ217">
        <f t="shared" si="33"/>
        <v>138.1</v>
      </c>
      <c r="AR217">
        <f>AVERAGE(AD215:AD217)</f>
        <v>140</v>
      </c>
    </row>
    <row r="218" spans="1:44" hidden="1"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44" hidden="1"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44"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f>AVERAGE(D218:D220)</f>
        <v>137.33333333333334</v>
      </c>
      <c r="AF220">
        <f t="shared" ref="AF220:AQ220" si="34">AVERAGE(E218:E220)</f>
        <v>151.1</v>
      </c>
      <c r="AG220">
        <f t="shared" si="34"/>
        <v>140.63333333333333</v>
      </c>
      <c r="AH220">
        <f t="shared" si="34"/>
        <v>142.06666666666669</v>
      </c>
      <c r="AI220">
        <f t="shared" si="34"/>
        <v>121.26666666666667</v>
      </c>
      <c r="AJ220">
        <f t="shared" si="34"/>
        <v>135.36666666666667</v>
      </c>
      <c r="AK220">
        <f t="shared" si="34"/>
        <v>131.16666666666666</v>
      </c>
      <c r="AL220">
        <f t="shared" si="34"/>
        <v>119.93333333333334</v>
      </c>
      <c r="AM220">
        <f t="shared" si="34"/>
        <v>109.3</v>
      </c>
      <c r="AN220">
        <f t="shared" si="34"/>
        <v>139.56666666666669</v>
      </c>
      <c r="AO220">
        <f t="shared" si="34"/>
        <v>132.80000000000001</v>
      </c>
      <c r="AP220">
        <f t="shared" si="34"/>
        <v>154.53333333333333</v>
      </c>
      <c r="AQ220">
        <f t="shared" si="34"/>
        <v>137.36666666666667</v>
      </c>
      <c r="AR220">
        <f>AVERAGE(AD218:AD220)</f>
        <v>139.53333333333333</v>
      </c>
    </row>
    <row r="221" spans="1:44" hidden="1"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44" hidden="1"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44"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f>AVERAGE(D221:D223)</f>
        <v>137.93333333333337</v>
      </c>
      <c r="AF223">
        <f t="shared" ref="AF223:AQ223" si="35">AVERAGE(E221:E223)</f>
        <v>151.70000000000002</v>
      </c>
      <c r="AG223">
        <f t="shared" si="35"/>
        <v>141.96666666666667</v>
      </c>
      <c r="AH223">
        <f t="shared" si="35"/>
        <v>142.13333333333333</v>
      </c>
      <c r="AI223">
        <f t="shared" si="35"/>
        <v>121.5</v>
      </c>
      <c r="AJ223">
        <f t="shared" si="35"/>
        <v>136.4</v>
      </c>
      <c r="AK223">
        <f t="shared" si="35"/>
        <v>129.99999999999997</v>
      </c>
      <c r="AL223">
        <f t="shared" si="35"/>
        <v>120.8</v>
      </c>
      <c r="AM223">
        <f t="shared" si="35"/>
        <v>109.23333333333333</v>
      </c>
      <c r="AN223">
        <f t="shared" si="35"/>
        <v>139.9</v>
      </c>
      <c r="AO223">
        <f t="shared" si="35"/>
        <v>133.10000000000002</v>
      </c>
      <c r="AP223">
        <f t="shared" si="35"/>
        <v>154.86666666666667</v>
      </c>
      <c r="AQ223">
        <f t="shared" si="35"/>
        <v>137.56666666666666</v>
      </c>
      <c r="AR223">
        <f>AVERAGE(AD221:AD223)</f>
        <v>139.83333333333334</v>
      </c>
    </row>
    <row r="224" spans="1:44" hidden="1"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44" hidden="1"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44"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f>AVERAGE(D224:D226)</f>
        <v>138.13333333333335</v>
      </c>
      <c r="AF226">
        <f t="shared" ref="AF226:AQ226" si="36">AVERAGE(E224:E226)</f>
        <v>152.73333333333332</v>
      </c>
      <c r="AG226">
        <f t="shared" si="36"/>
        <v>140.63333333333335</v>
      </c>
      <c r="AH226">
        <f t="shared" si="36"/>
        <v>142.23333333333332</v>
      </c>
      <c r="AI226">
        <f t="shared" si="36"/>
        <v>121.5</v>
      </c>
      <c r="AJ226">
        <f t="shared" si="36"/>
        <v>137.70000000000002</v>
      </c>
      <c r="AK226">
        <f t="shared" si="36"/>
        <v>134</v>
      </c>
      <c r="AL226">
        <f t="shared" si="36"/>
        <v>121.60000000000001</v>
      </c>
      <c r="AM226">
        <f t="shared" si="36"/>
        <v>109.23333333333333</v>
      </c>
      <c r="AN226">
        <f t="shared" si="36"/>
        <v>139.70000000000002</v>
      </c>
      <c r="AO226">
        <f t="shared" si="36"/>
        <v>133.19999999999999</v>
      </c>
      <c r="AP226">
        <f t="shared" si="36"/>
        <v>155.16666666666666</v>
      </c>
      <c r="AQ226">
        <f t="shared" si="36"/>
        <v>138.33333333333334</v>
      </c>
      <c r="AR226">
        <f>AVERAGE(AD224:AD226)</f>
        <v>140.36666666666667</v>
      </c>
    </row>
    <row r="227" spans="1:44" hidden="1"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44" hidden="1"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44"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f>AVERAGE(D227:D229)</f>
        <v>138.70000000000002</v>
      </c>
      <c r="AF229">
        <f t="shared" ref="AF229:AQ229" si="37">AVERAGE(E227:E229)</f>
        <v>158.23333333333332</v>
      </c>
      <c r="AG229">
        <f t="shared" si="37"/>
        <v>136.26666666666668</v>
      </c>
      <c r="AH229">
        <f t="shared" si="37"/>
        <v>142.5</v>
      </c>
      <c r="AI229">
        <f t="shared" si="37"/>
        <v>121.53333333333335</v>
      </c>
      <c r="AJ229">
        <f t="shared" si="37"/>
        <v>146.63333333333333</v>
      </c>
      <c r="AK229">
        <f t="shared" si="37"/>
        <v>146</v>
      </c>
      <c r="AL229">
        <f t="shared" si="37"/>
        <v>124.8</v>
      </c>
      <c r="AM229">
        <f t="shared" si="37"/>
        <v>110.13333333333333</v>
      </c>
      <c r="AN229">
        <f t="shared" si="37"/>
        <v>140.06666666666669</v>
      </c>
      <c r="AO229">
        <f t="shared" si="37"/>
        <v>133.53333333333333</v>
      </c>
      <c r="AP229">
        <f t="shared" si="37"/>
        <v>155.46666666666667</v>
      </c>
      <c r="AQ229">
        <f t="shared" si="37"/>
        <v>141.29999999999998</v>
      </c>
      <c r="AR229">
        <f>AVERAGE(AD227:AD229)</f>
        <v>141.96666666666667</v>
      </c>
    </row>
    <row r="230" spans="1:44" hidden="1"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44" hidden="1"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44"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f>AVERAGE(D230:D232)</f>
        <v>139.06666666666666</v>
      </c>
      <c r="AF232">
        <f t="shared" ref="AF232:AQ232" si="38">AVERAGE(E230:E232)</f>
        <v>161.73333333333335</v>
      </c>
      <c r="AG232">
        <f t="shared" si="38"/>
        <v>138.13333333333335</v>
      </c>
      <c r="AH232">
        <f t="shared" si="38"/>
        <v>143.30000000000001</v>
      </c>
      <c r="AI232">
        <f t="shared" si="38"/>
        <v>121.69999999999999</v>
      </c>
      <c r="AJ232">
        <f t="shared" si="38"/>
        <v>147.00000000000003</v>
      </c>
      <c r="AK232">
        <f t="shared" si="38"/>
        <v>153.63333333333333</v>
      </c>
      <c r="AL232">
        <f t="shared" si="38"/>
        <v>128.13333333333335</v>
      </c>
      <c r="AM232">
        <f t="shared" si="38"/>
        <v>111.13333333333333</v>
      </c>
      <c r="AN232">
        <f t="shared" si="38"/>
        <v>140.66666666666666</v>
      </c>
      <c r="AO232">
        <f t="shared" si="38"/>
        <v>133.73333333333332</v>
      </c>
      <c r="AP232">
        <f t="shared" si="38"/>
        <v>155.86666666666667</v>
      </c>
      <c r="AQ232">
        <f t="shared" si="38"/>
        <v>143.1</v>
      </c>
      <c r="AR232">
        <f>AVERAGE(AD230:AD232)</f>
        <v>142.86666666666667</v>
      </c>
    </row>
    <row r="233" spans="1:44" hidden="1"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44" hidden="1"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44"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f>AVERAGE(D233:D235)</f>
        <v>139.70000000000002</v>
      </c>
      <c r="AF235">
        <f t="shared" ref="AF235:AQ235" si="39">AVERAGE(E233:E235)</f>
        <v>162.29999999999998</v>
      </c>
      <c r="AG235">
        <f t="shared" si="39"/>
        <v>140.29999999999998</v>
      </c>
      <c r="AH235">
        <f t="shared" si="39"/>
        <v>144</v>
      </c>
      <c r="AI235">
        <f t="shared" si="39"/>
        <v>122.06666666666666</v>
      </c>
      <c r="AJ235">
        <f t="shared" si="39"/>
        <v>150.46666666666667</v>
      </c>
      <c r="AK235">
        <f t="shared" si="39"/>
        <v>163.5</v>
      </c>
      <c r="AL235">
        <f t="shared" si="39"/>
        <v>129.83333333333334</v>
      </c>
      <c r="AM235">
        <f t="shared" si="39"/>
        <v>111.23333333333333</v>
      </c>
      <c r="AN235">
        <f t="shared" si="39"/>
        <v>141.66666666666666</v>
      </c>
      <c r="AO235">
        <f t="shared" si="39"/>
        <v>134.23333333333332</v>
      </c>
      <c r="AP235">
        <f t="shared" si="39"/>
        <v>156.16666666666666</v>
      </c>
      <c r="AQ235">
        <f t="shared" si="39"/>
        <v>145.13333333333333</v>
      </c>
      <c r="AR235">
        <f>AVERAGE(AD233:AD235)</f>
        <v>144.13333333333335</v>
      </c>
    </row>
    <row r="236" spans="1:44" hidden="1"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44" hidden="1"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44"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f>AVERAGE(D236:D238)</f>
        <v>140.46666666666667</v>
      </c>
      <c r="AF238">
        <f t="shared" ref="AF238:AQ238" si="40">AVERAGE(E236:E238)</f>
        <v>160.26666666666668</v>
      </c>
      <c r="AG238">
        <f t="shared" si="40"/>
        <v>138.79999999999998</v>
      </c>
      <c r="AH238">
        <f t="shared" si="40"/>
        <v>144.73333333333332</v>
      </c>
      <c r="AI238">
        <f t="shared" si="40"/>
        <v>122.5</v>
      </c>
      <c r="AJ238">
        <f t="shared" si="40"/>
        <v>149.6</v>
      </c>
      <c r="AK238">
        <f t="shared" si="40"/>
        <v>170.89999999999998</v>
      </c>
      <c r="AL238">
        <f t="shared" si="40"/>
        <v>130.73333333333335</v>
      </c>
      <c r="AM238">
        <f t="shared" si="40"/>
        <v>112.13333333333333</v>
      </c>
      <c r="AN238">
        <f t="shared" si="40"/>
        <v>142.6</v>
      </c>
      <c r="AO238">
        <f t="shared" si="40"/>
        <v>134.4</v>
      </c>
      <c r="AP238">
        <f t="shared" si="40"/>
        <v>156.56666666666669</v>
      </c>
      <c r="AQ238">
        <f t="shared" si="40"/>
        <v>146.33333333333334</v>
      </c>
      <c r="AR238">
        <f>AVERAGE(AD236:AD238)</f>
        <v>144.96666666666667</v>
      </c>
    </row>
    <row r="239" spans="1:44" hidden="1"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44" hidden="1"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44"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f>AVERAGE(D239:D241)</f>
        <v>141.23333333333332</v>
      </c>
      <c r="AF241">
        <f t="shared" ref="AF241:AQ241" si="41">AVERAGE(E239:E241)</f>
        <v>160.46666666666667</v>
      </c>
      <c r="AG241">
        <f t="shared" si="41"/>
        <v>139.83333333333334</v>
      </c>
      <c r="AH241">
        <f t="shared" si="41"/>
        <v>145.33333333333334</v>
      </c>
      <c r="AI241">
        <f t="shared" si="41"/>
        <v>123.13333333333333</v>
      </c>
      <c r="AJ241">
        <f t="shared" si="41"/>
        <v>146.73333333333335</v>
      </c>
      <c r="AK241">
        <f t="shared" si="41"/>
        <v>176.33333333333334</v>
      </c>
      <c r="AL241">
        <f t="shared" si="41"/>
        <v>131.36666666666667</v>
      </c>
      <c r="AM241">
        <f t="shared" si="41"/>
        <v>113.33333333333333</v>
      </c>
      <c r="AN241">
        <f t="shared" si="41"/>
        <v>144.03333333333333</v>
      </c>
      <c r="AO241">
        <f t="shared" si="41"/>
        <v>134.5</v>
      </c>
      <c r="AP241">
        <f t="shared" si="41"/>
        <v>156.80000000000001</v>
      </c>
      <c r="AQ241">
        <f t="shared" si="41"/>
        <v>147.33333333333334</v>
      </c>
      <c r="AR241">
        <f>AVERAGE(AD239:AD241)</f>
        <v>145.73333333333332</v>
      </c>
    </row>
    <row r="242" spans="1:44" hidden="1"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44" hidden="1"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44"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f>AVERAGE(D242:D244)</f>
        <v>142.1</v>
      </c>
      <c r="AF244">
        <f t="shared" ref="AF244:AQ244" si="42">AVERAGE(E242:E244)</f>
        <v>160.79999999999998</v>
      </c>
      <c r="AG244">
        <f t="shared" si="42"/>
        <v>142.83333333333334</v>
      </c>
      <c r="AH244">
        <f t="shared" si="42"/>
        <v>146.1</v>
      </c>
      <c r="AI244">
        <f t="shared" si="42"/>
        <v>123.53333333333335</v>
      </c>
      <c r="AJ244">
        <f t="shared" si="42"/>
        <v>148.1</v>
      </c>
      <c r="AK244">
        <f t="shared" si="42"/>
        <v>191.46666666666667</v>
      </c>
      <c r="AL244">
        <f t="shared" si="42"/>
        <v>132.26666666666665</v>
      </c>
      <c r="AM244">
        <f t="shared" si="42"/>
        <v>114.13333333333333</v>
      </c>
      <c r="AN244">
        <f t="shared" si="42"/>
        <v>145.36666666666667</v>
      </c>
      <c r="AO244">
        <f t="shared" si="42"/>
        <v>134.63333333333333</v>
      </c>
      <c r="AP244">
        <f t="shared" si="42"/>
        <v>157.10000000000002</v>
      </c>
      <c r="AQ244">
        <f t="shared" si="42"/>
        <v>149.93333333333337</v>
      </c>
      <c r="AR244">
        <f>AVERAGE(AD242:AD244)</f>
        <v>147.16666666666666</v>
      </c>
    </row>
    <row r="245" spans="1:44" hidden="1"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44" hidden="1"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44"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f>AVERAGE(D245:D247)</f>
        <v>142.79999999999998</v>
      </c>
      <c r="AF247">
        <f t="shared" ref="AF247:AQ247" si="43">AVERAGE(E245:E247)</f>
        <v>163.1</v>
      </c>
      <c r="AG247">
        <f t="shared" si="43"/>
        <v>145.93333333333337</v>
      </c>
      <c r="AH247">
        <f t="shared" si="43"/>
        <v>146.56666666666666</v>
      </c>
      <c r="AI247">
        <f t="shared" si="43"/>
        <v>123.93333333333334</v>
      </c>
      <c r="AJ247">
        <f t="shared" si="43"/>
        <v>147.46666666666667</v>
      </c>
      <c r="AK247">
        <f t="shared" si="43"/>
        <v>202.23333333333335</v>
      </c>
      <c r="AL247">
        <f t="shared" si="43"/>
        <v>135.49999999999997</v>
      </c>
      <c r="AM247">
        <f t="shared" si="43"/>
        <v>114.33333333333333</v>
      </c>
      <c r="AN247">
        <f t="shared" si="43"/>
        <v>146.86666666666667</v>
      </c>
      <c r="AO247">
        <f t="shared" si="43"/>
        <v>134.83333333333334</v>
      </c>
      <c r="AP247">
        <f t="shared" si="43"/>
        <v>157.46666666666667</v>
      </c>
      <c r="AQ247">
        <f t="shared" si="43"/>
        <v>152.13333333333333</v>
      </c>
      <c r="AR247">
        <f>AVERAGE(AD245:AD247)</f>
        <v>148.5</v>
      </c>
    </row>
    <row r="248" spans="1:44" hidden="1"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44" hidden="1"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44"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f>AVERAGE(D248:D250)</f>
        <v>143.73333333333335</v>
      </c>
      <c r="AF250">
        <f t="shared" ref="AF250:AQ250" si="44">AVERAGE(E248:E250)</f>
        <v>164.93333333333334</v>
      </c>
      <c r="AG250">
        <f t="shared" si="44"/>
        <v>151.43333333333331</v>
      </c>
      <c r="AH250">
        <f t="shared" si="44"/>
        <v>148.16666666666666</v>
      </c>
      <c r="AI250">
        <f t="shared" si="44"/>
        <v>125.3</v>
      </c>
      <c r="AJ250">
        <f t="shared" si="44"/>
        <v>145.73333333333332</v>
      </c>
      <c r="AK250">
        <f t="shared" si="44"/>
        <v>219.33333333333334</v>
      </c>
      <c r="AL250">
        <f t="shared" si="44"/>
        <v>138.1</v>
      </c>
      <c r="AM250">
        <f t="shared" si="44"/>
        <v>114.10000000000001</v>
      </c>
      <c r="AN250">
        <f t="shared" si="44"/>
        <v>148.6</v>
      </c>
      <c r="AO250">
        <f t="shared" si="44"/>
        <v>135.30000000000001</v>
      </c>
      <c r="AP250">
        <f t="shared" si="44"/>
        <v>158</v>
      </c>
      <c r="AQ250">
        <f t="shared" si="44"/>
        <v>155.20000000000002</v>
      </c>
      <c r="AR250">
        <f>AVERAGE(AD248:AD250)</f>
        <v>150.33333333333334</v>
      </c>
    </row>
    <row r="251" spans="1:44" hidden="1"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44" hidden="1"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44"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f>AVERAGE(D251:D253)</f>
        <v>144.53333333333333</v>
      </c>
      <c r="AF253">
        <f t="shared" ref="AF253:AQ253" si="45">AVERAGE(E251:E253)</f>
        <v>167.43333333333331</v>
      </c>
      <c r="AG253">
        <f t="shared" si="45"/>
        <v>155.13333333333333</v>
      </c>
      <c r="AH253">
        <f t="shared" si="45"/>
        <v>149.96666666666667</v>
      </c>
      <c r="AI253">
        <f t="shared" si="45"/>
        <v>129.4</v>
      </c>
      <c r="AJ253">
        <f t="shared" si="45"/>
        <v>143.26666666666668</v>
      </c>
      <c r="AK253">
        <f t="shared" si="45"/>
        <v>198.76666666666665</v>
      </c>
      <c r="AL253">
        <f t="shared" si="45"/>
        <v>140.20000000000002</v>
      </c>
      <c r="AM253">
        <f t="shared" si="45"/>
        <v>114.23333333333333</v>
      </c>
      <c r="AN253">
        <f t="shared" si="45"/>
        <v>150.66666666666666</v>
      </c>
      <c r="AO253">
        <f t="shared" si="45"/>
        <v>135.63333333333333</v>
      </c>
      <c r="AP253">
        <f t="shared" si="45"/>
        <v>158.6</v>
      </c>
      <c r="AQ253">
        <f t="shared" si="45"/>
        <v>153.63333333333333</v>
      </c>
      <c r="AR253">
        <f>AVERAGE(AD251:AD253)</f>
        <v>150.1</v>
      </c>
    </row>
    <row r="254" spans="1:44" hidden="1"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44" hidden="1"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44"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f>AVERAGE(D254:D256)</f>
        <v>145.06666666666666</v>
      </c>
      <c r="AF256">
        <f t="shared" ref="AF256:AQ256" si="46">AVERAGE(E254:E256)</f>
        <v>167.53333333333333</v>
      </c>
      <c r="AG256">
        <f t="shared" si="46"/>
        <v>151.93333333333334</v>
      </c>
      <c r="AH256">
        <f t="shared" si="46"/>
        <v>150.80000000000001</v>
      </c>
      <c r="AI256">
        <f t="shared" si="46"/>
        <v>130.83333333333334</v>
      </c>
      <c r="AJ256">
        <f t="shared" si="46"/>
        <v>141.86666666666665</v>
      </c>
      <c r="AK256">
        <f t="shared" si="46"/>
        <v>172.5</v>
      </c>
      <c r="AL256">
        <f t="shared" si="46"/>
        <v>140.83333333333334</v>
      </c>
      <c r="AM256">
        <f t="shared" si="46"/>
        <v>113.76666666666665</v>
      </c>
      <c r="AN256">
        <f t="shared" si="46"/>
        <v>151.73333333333335</v>
      </c>
      <c r="AO256">
        <f t="shared" si="46"/>
        <v>136.03333333333333</v>
      </c>
      <c r="AP256">
        <f t="shared" si="46"/>
        <v>159.1</v>
      </c>
      <c r="AQ256">
        <f t="shared" si="46"/>
        <v>150.66666666666666</v>
      </c>
      <c r="AR256">
        <f>AVERAGE(AD254:AD256)</f>
        <v>149.06666666666669</v>
      </c>
    </row>
    <row r="257" spans="1:44" hidden="1"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44" hidden="1"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44"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f>AVERAGE(D257:D259)</f>
        <v>145.33333333333334</v>
      </c>
      <c r="AF259">
        <f t="shared" ref="AF259:AQ259" si="47">AVERAGE(E257:E259)</f>
        <v>167.1</v>
      </c>
      <c r="AG259">
        <f t="shared" si="47"/>
        <v>148.20000000000002</v>
      </c>
      <c r="AH259">
        <f t="shared" si="47"/>
        <v>151.43333333333331</v>
      </c>
      <c r="AI259">
        <f t="shared" si="47"/>
        <v>130.66666666666666</v>
      </c>
      <c r="AJ259">
        <f t="shared" si="47"/>
        <v>142.53333333333333</v>
      </c>
      <c r="AK259">
        <f t="shared" si="47"/>
        <v>158.86666666666667</v>
      </c>
      <c r="AL259">
        <f t="shared" si="47"/>
        <v>140.86666666666667</v>
      </c>
      <c r="AM259">
        <f t="shared" si="47"/>
        <v>113.39999999999999</v>
      </c>
      <c r="AN259">
        <f t="shared" si="47"/>
        <v>152.9</v>
      </c>
      <c r="AO259">
        <f t="shared" si="47"/>
        <v>136.23333333333332</v>
      </c>
      <c r="AP259">
        <f t="shared" si="47"/>
        <v>159.56666666666669</v>
      </c>
      <c r="AQ259">
        <f t="shared" si="47"/>
        <v>149.06666666666663</v>
      </c>
      <c r="AR259">
        <f>AVERAGE(AD257:AD259)</f>
        <v>148.56666666666669</v>
      </c>
    </row>
    <row r="260" spans="1:44" hidden="1"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44" hidden="1"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44"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c r="AE262">
        <f>AVERAGE(D260:D262)</f>
        <v>149.23333333333332</v>
      </c>
      <c r="AF262" t="e">
        <f t="shared" ref="AF262:AQ262" si="48">AVERAGE(E260:E262)</f>
        <v>#DIV/0!</v>
      </c>
      <c r="AG262">
        <f t="shared" si="48"/>
        <v>149.20000000000002</v>
      </c>
      <c r="AH262">
        <f t="shared" si="48"/>
        <v>155.56666666666669</v>
      </c>
      <c r="AI262">
        <f t="shared" si="48"/>
        <v>134.6</v>
      </c>
      <c r="AJ262">
        <f t="shared" si="48"/>
        <v>150.03333333333333</v>
      </c>
      <c r="AK262">
        <f t="shared" si="48"/>
        <v>170.43333333333331</v>
      </c>
      <c r="AL262">
        <f t="shared" si="48"/>
        <v>150.46666666666667</v>
      </c>
      <c r="AM262">
        <f t="shared" si="48"/>
        <v>120.43333333333334</v>
      </c>
      <c r="AN262">
        <f t="shared" si="48"/>
        <v>156.6</v>
      </c>
      <c r="AO262">
        <f t="shared" si="48"/>
        <v>136.5</v>
      </c>
      <c r="AP262" t="e">
        <f t="shared" si="48"/>
        <v>#DIV/0!</v>
      </c>
      <c r="AQ262">
        <f t="shared" si="48"/>
        <v>151.66666666666666</v>
      </c>
      <c r="AR262" t="e">
        <f>AVERAGE(AD260:AD262)</f>
        <v>#DIV/0!</v>
      </c>
    </row>
    <row r="263" spans="1:44" hidden="1"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44" hidden="1"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44"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c r="AE265" t="e">
        <f>AVERAGE(D263:D265)</f>
        <v>#DIV/0!</v>
      </c>
      <c r="AF265" t="e">
        <f t="shared" ref="AF265:AQ265" si="49">AVERAGE(E263:E265)</f>
        <v>#DIV/0!</v>
      </c>
      <c r="AG265" t="e">
        <f t="shared" si="49"/>
        <v>#DIV/0!</v>
      </c>
      <c r="AH265" t="e">
        <f t="shared" si="49"/>
        <v>#DIV/0!</v>
      </c>
      <c r="AI265" t="e">
        <f t="shared" si="49"/>
        <v>#DIV/0!</v>
      </c>
      <c r="AJ265" t="e">
        <f t="shared" si="49"/>
        <v>#DIV/0!</v>
      </c>
      <c r="AK265" t="e">
        <f t="shared" si="49"/>
        <v>#DIV/0!</v>
      </c>
      <c r="AL265" t="e">
        <f t="shared" si="49"/>
        <v>#DIV/0!</v>
      </c>
      <c r="AM265" t="e">
        <f t="shared" si="49"/>
        <v>#DIV/0!</v>
      </c>
      <c r="AN265" t="e">
        <f t="shared" si="49"/>
        <v>#DIV/0!</v>
      </c>
      <c r="AO265" t="e">
        <f t="shared" si="49"/>
        <v>#DIV/0!</v>
      </c>
      <c r="AP265" t="e">
        <f t="shared" si="49"/>
        <v>#DIV/0!</v>
      </c>
      <c r="AQ265" t="e">
        <f t="shared" si="49"/>
        <v>#DIV/0!</v>
      </c>
      <c r="AR265" t="e">
        <f>AVERAGE(AD263:AD265)</f>
        <v>#DIV/0!</v>
      </c>
    </row>
    <row r="266" spans="1:44" hidden="1"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44" hidden="1"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44"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f>AVERAGE(D266:D268)</f>
        <v>150.16666666666666</v>
      </c>
      <c r="AF268">
        <f t="shared" ref="AF268:AQ268" si="50">AVERAGE(E266:E268)</f>
        <v>193.33333333333334</v>
      </c>
      <c r="AG268">
        <f t="shared" si="50"/>
        <v>151.79999999999998</v>
      </c>
      <c r="AH268">
        <f t="shared" si="50"/>
        <v>153.33333333333334</v>
      </c>
      <c r="AI268">
        <f t="shared" si="50"/>
        <v>135.80000000000001</v>
      </c>
      <c r="AJ268">
        <f t="shared" si="50"/>
        <v>147.4</v>
      </c>
      <c r="AK268">
        <f t="shared" si="50"/>
        <v>158.86666666666667</v>
      </c>
      <c r="AL268">
        <f t="shared" si="50"/>
        <v>151.06666666666669</v>
      </c>
      <c r="AM268">
        <f t="shared" si="50"/>
        <v>114.56666666666666</v>
      </c>
      <c r="AN268">
        <f t="shared" si="50"/>
        <v>159.36666666666667</v>
      </c>
      <c r="AO268">
        <f t="shared" si="50"/>
        <v>139.03333333333333</v>
      </c>
      <c r="AP268">
        <f t="shared" si="50"/>
        <v>161.76666666666668</v>
      </c>
      <c r="AQ268">
        <f t="shared" si="50"/>
        <v>154.43333333333334</v>
      </c>
      <c r="AR268">
        <f>AVERAGE(AD266:AD268)</f>
        <v>151.76666666666668</v>
      </c>
    </row>
    <row r="269" spans="1:44" hidden="1"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44" hidden="1"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44"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f>AVERAGE(D269:D271)</f>
        <v>150.16666666666666</v>
      </c>
      <c r="AF271">
        <f t="shared" ref="AF271:AQ271" si="51">AVERAGE(E269:E271)</f>
        <v>193.33333333333334</v>
      </c>
      <c r="AG271">
        <f t="shared" si="51"/>
        <v>151.79999999999998</v>
      </c>
      <c r="AH271">
        <f t="shared" si="51"/>
        <v>153.33333333333334</v>
      </c>
      <c r="AI271">
        <f t="shared" si="51"/>
        <v>135.80000000000001</v>
      </c>
      <c r="AJ271">
        <f t="shared" si="51"/>
        <v>147.4</v>
      </c>
      <c r="AK271">
        <f t="shared" si="51"/>
        <v>158.86666666666667</v>
      </c>
      <c r="AL271">
        <f t="shared" si="51"/>
        <v>151.06666666666669</v>
      </c>
      <c r="AM271">
        <f t="shared" si="51"/>
        <v>114.56666666666666</v>
      </c>
      <c r="AN271">
        <f t="shared" si="51"/>
        <v>159.36666666666667</v>
      </c>
      <c r="AO271">
        <f t="shared" si="51"/>
        <v>139.03333333333333</v>
      </c>
      <c r="AP271">
        <f t="shared" si="51"/>
        <v>161.76666666666668</v>
      </c>
      <c r="AQ271">
        <f t="shared" si="51"/>
        <v>154.43333333333334</v>
      </c>
      <c r="AR271">
        <f>AVERAGE(AD269:AD271)</f>
        <v>151.76666666666668</v>
      </c>
    </row>
    <row r="272" spans="1:44" hidden="1"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44" hidden="1"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44"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f>AVERAGE(D272:D274)</f>
        <v>149.36666666666667</v>
      </c>
      <c r="AF274">
        <f t="shared" ref="AF274:AQ274" si="52">AVERAGE(E272:E274)</f>
        <v>191.96666666666667</v>
      </c>
      <c r="AG274">
        <f t="shared" si="52"/>
        <v>151.23333333333332</v>
      </c>
      <c r="AH274">
        <f t="shared" si="52"/>
        <v>153.33333333333334</v>
      </c>
      <c r="AI274">
        <f t="shared" si="52"/>
        <v>136.86666666666667</v>
      </c>
      <c r="AJ274">
        <f t="shared" si="52"/>
        <v>150.6</v>
      </c>
      <c r="AK274">
        <f t="shared" si="52"/>
        <v>180.33333333333334</v>
      </c>
      <c r="AL274">
        <f t="shared" si="52"/>
        <v>150.53333333333333</v>
      </c>
      <c r="AM274">
        <f t="shared" si="52"/>
        <v>115.36666666666667</v>
      </c>
      <c r="AN274">
        <f t="shared" si="52"/>
        <v>160</v>
      </c>
      <c r="AO274">
        <f t="shared" si="52"/>
        <v>140.20000000000002</v>
      </c>
      <c r="AP274">
        <f t="shared" si="52"/>
        <v>162.36666666666667</v>
      </c>
      <c r="AQ274">
        <f t="shared" si="52"/>
        <v>157.4</v>
      </c>
      <c r="AR274">
        <f>AVERAGE(AD272:AD274)</f>
        <v>153.83333333333334</v>
      </c>
    </row>
    <row r="275" spans="1:44" hidden="1"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44" hidden="1"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44"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f>AVERAGE(D275:D277)</f>
        <v>148.93333333333331</v>
      </c>
      <c r="AF277">
        <f t="shared" ref="AF277:AQ277" si="53">AVERAGE(E275:E277)</f>
        <v>188.03333333333333</v>
      </c>
      <c r="AG277">
        <f t="shared" si="53"/>
        <v>153.1</v>
      </c>
      <c r="AH277">
        <f t="shared" si="53"/>
        <v>153.63333333333333</v>
      </c>
      <c r="AI277">
        <f t="shared" si="53"/>
        <v>137.66666666666666</v>
      </c>
      <c r="AJ277">
        <f t="shared" si="53"/>
        <v>151.1</v>
      </c>
      <c r="AK277">
        <f t="shared" si="53"/>
        <v>189.16666666666666</v>
      </c>
      <c r="AL277">
        <f t="shared" si="53"/>
        <v>149.96666666666667</v>
      </c>
      <c r="AM277">
        <f t="shared" si="53"/>
        <v>116.8</v>
      </c>
      <c r="AN277">
        <f t="shared" si="53"/>
        <v>160.4</v>
      </c>
      <c r="AO277">
        <f t="shared" si="53"/>
        <v>141.76666666666668</v>
      </c>
      <c r="AP277">
        <f t="shared" si="53"/>
        <v>162.96666666666667</v>
      </c>
      <c r="AQ277">
        <f t="shared" si="53"/>
        <v>158.46666666666667</v>
      </c>
      <c r="AR277">
        <f>AVERAGE(AD275:AD277)</f>
        <v>154.69999999999999</v>
      </c>
    </row>
    <row r="278" spans="1:44" hidden="1"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44" hidden="1"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44"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f>AVERAGE(D278:D280)</f>
        <v>148.03333333333333</v>
      </c>
      <c r="AF280">
        <f t="shared" ref="AF280:AQ280" si="54">AVERAGE(E278:E280)</f>
        <v>189.63333333333333</v>
      </c>
      <c r="AG280">
        <f t="shared" si="54"/>
        <v>161.79999999999998</v>
      </c>
      <c r="AH280">
        <f t="shared" si="54"/>
        <v>153.63333333333333</v>
      </c>
      <c r="AI280">
        <f t="shared" si="54"/>
        <v>139.46666666666667</v>
      </c>
      <c r="AJ280">
        <f t="shared" si="54"/>
        <v>151.36666666666665</v>
      </c>
      <c r="AK280">
        <f t="shared" si="54"/>
        <v>211.93333333333331</v>
      </c>
      <c r="AL280">
        <f t="shared" si="54"/>
        <v>151.13333333333333</v>
      </c>
      <c r="AM280">
        <f t="shared" si="54"/>
        <v>116.53333333333332</v>
      </c>
      <c r="AN280">
        <f t="shared" si="54"/>
        <v>161.06666666666669</v>
      </c>
      <c r="AO280">
        <f t="shared" si="54"/>
        <v>143.53333333333333</v>
      </c>
      <c r="AP280">
        <f t="shared" si="54"/>
        <v>163.30000000000001</v>
      </c>
      <c r="AQ280">
        <f t="shared" si="54"/>
        <v>161.79999999999998</v>
      </c>
      <c r="AR280">
        <f>AVERAGE(AD278:AD280)</f>
        <v>156.36666666666667</v>
      </c>
    </row>
    <row r="281" spans="1:44" hidden="1"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44" hidden="1"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44"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f>AVERAGE(D281:D283)</f>
        <v>147.30000000000001</v>
      </c>
      <c r="AF283">
        <f t="shared" ref="AF283:AQ283" si="55">AVERAGE(E281:E283)</f>
        <v>191.70000000000002</v>
      </c>
      <c r="AG283">
        <f t="shared" si="55"/>
        <v>174.03333333333333</v>
      </c>
      <c r="AH283">
        <f t="shared" si="55"/>
        <v>153.83333333333334</v>
      </c>
      <c r="AI283">
        <f t="shared" si="55"/>
        <v>142.03333333333333</v>
      </c>
      <c r="AJ283">
        <f t="shared" si="55"/>
        <v>148.46666666666667</v>
      </c>
      <c r="AK283">
        <f t="shared" si="55"/>
        <v>232.5</v>
      </c>
      <c r="AL283">
        <f t="shared" si="55"/>
        <v>157.13333333333335</v>
      </c>
      <c r="AM283">
        <f t="shared" si="55"/>
        <v>115.93333333333334</v>
      </c>
      <c r="AN283">
        <f t="shared" si="55"/>
        <v>161.73333333333332</v>
      </c>
      <c r="AO283">
        <f t="shared" si="55"/>
        <v>146</v>
      </c>
      <c r="AP283">
        <f t="shared" si="55"/>
        <v>163.86666666666665</v>
      </c>
      <c r="AQ283">
        <f t="shared" si="55"/>
        <v>165.03333333333333</v>
      </c>
      <c r="AR283">
        <f>AVERAGE(AD281:AD283)</f>
        <v>158.29999999999998</v>
      </c>
    </row>
    <row r="284" spans="1:44" hidden="1"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44" hidden="1"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44"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f>AVERAGE(D284:D286)</f>
        <v>146.53333333333333</v>
      </c>
      <c r="AF286">
        <f t="shared" ref="AF286:AQ286" si="56">AVERAGE(E284:E286)</f>
        <v>191.73333333333335</v>
      </c>
      <c r="AG286">
        <f t="shared" si="56"/>
        <v>175.66666666666666</v>
      </c>
      <c r="AH286">
        <f t="shared" si="56"/>
        <v>154.1</v>
      </c>
      <c r="AI286">
        <f t="shared" si="56"/>
        <v>145.76666666666665</v>
      </c>
      <c r="AJ286">
        <f t="shared" si="56"/>
        <v>147.76666666666668</v>
      </c>
      <c r="AK286">
        <f t="shared" si="56"/>
        <v>232.20000000000002</v>
      </c>
      <c r="AL286">
        <f t="shared" si="56"/>
        <v>160.4</v>
      </c>
      <c r="AM286">
        <f t="shared" si="56"/>
        <v>115.60000000000001</v>
      </c>
      <c r="AN286">
        <f t="shared" si="56"/>
        <v>162.79999999999998</v>
      </c>
      <c r="AO286">
        <f t="shared" si="56"/>
        <v>148.63333333333335</v>
      </c>
      <c r="AP286">
        <f t="shared" si="56"/>
        <v>164.83333333333334</v>
      </c>
      <c r="AQ286">
        <f t="shared" si="56"/>
        <v>165.63333333333333</v>
      </c>
      <c r="AR286">
        <f>AVERAGE(AD284:AD286)</f>
        <v>158.83333333333334</v>
      </c>
    </row>
    <row r="287" spans="1:44" hidden="1"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44" hidden="1"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44"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f>AVERAGE(D287:D289)</f>
        <v>145.43333333333331</v>
      </c>
      <c r="AF289">
        <f t="shared" ref="AF289:AQ289" si="57">AVERAGE(E287:E289)</f>
        <v>190.79999999999998</v>
      </c>
      <c r="AG289">
        <f t="shared" si="57"/>
        <v>175.70000000000002</v>
      </c>
      <c r="AH289">
        <f t="shared" si="57"/>
        <v>154.16666666666666</v>
      </c>
      <c r="AI289">
        <f t="shared" si="57"/>
        <v>149.93333333333331</v>
      </c>
      <c r="AJ289">
        <f t="shared" si="57"/>
        <v>149.73333333333335</v>
      </c>
      <c r="AK289">
        <f t="shared" si="57"/>
        <v>196.26666666666665</v>
      </c>
      <c r="AL289">
        <f t="shared" si="57"/>
        <v>160.66666666666666</v>
      </c>
      <c r="AM289">
        <f t="shared" si="57"/>
        <v>114.89999999999999</v>
      </c>
      <c r="AN289">
        <f t="shared" si="57"/>
        <v>163.83333333333334</v>
      </c>
      <c r="AO289">
        <f t="shared" si="57"/>
        <v>151.26666666666668</v>
      </c>
      <c r="AP289">
        <f t="shared" si="57"/>
        <v>165.70000000000002</v>
      </c>
      <c r="AQ289">
        <f t="shared" si="57"/>
        <v>161.33333333333334</v>
      </c>
      <c r="AR289">
        <f>AVERAGE(AD287:AD289)</f>
        <v>157.26666666666668</v>
      </c>
    </row>
    <row r="290" spans="1:44" hidden="1"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44" hidden="1"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44"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f>AVERAGE(D290:D292)</f>
        <v>144.9</v>
      </c>
      <c r="AF292">
        <f t="shared" ref="AF292:AQ292" si="58">AVERAGE(E290:E292)</f>
        <v>187.23333333333335</v>
      </c>
      <c r="AG292">
        <f t="shared" si="58"/>
        <v>168.86666666666665</v>
      </c>
      <c r="AH292">
        <f t="shared" si="58"/>
        <v>154.73333333333332</v>
      </c>
      <c r="AI292">
        <f t="shared" si="58"/>
        <v>157.69999999999999</v>
      </c>
      <c r="AJ292">
        <f t="shared" si="58"/>
        <v>150.83333333333334</v>
      </c>
      <c r="AK292">
        <f t="shared" si="58"/>
        <v>163.29999999999998</v>
      </c>
      <c r="AL292">
        <f t="shared" si="58"/>
        <v>158.96666666666667</v>
      </c>
      <c r="AM292">
        <f t="shared" si="58"/>
        <v>113.16666666666667</v>
      </c>
      <c r="AN292">
        <f t="shared" si="58"/>
        <v>163.9</v>
      </c>
      <c r="AO292">
        <f t="shared" si="58"/>
        <v>154.9</v>
      </c>
      <c r="AP292">
        <f t="shared" si="58"/>
        <v>167.56666666666669</v>
      </c>
      <c r="AQ292">
        <f t="shared" si="58"/>
        <v>157.46666666666667</v>
      </c>
      <c r="AR292">
        <f>AVERAGE(AD290:AD292)</f>
        <v>156.6</v>
      </c>
    </row>
    <row r="293" spans="1:44" hidden="1"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44" hidden="1"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44"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f>AVERAGE(D293:D295)</f>
        <v>144.70000000000002</v>
      </c>
      <c r="AF295">
        <f t="shared" ref="AF295:AQ295" si="59">AVERAGE(E293:E295)</f>
        <v>193.0333333333333</v>
      </c>
      <c r="AG295">
        <f t="shared" si="59"/>
        <v>163.9</v>
      </c>
      <c r="AH295">
        <f t="shared" si="59"/>
        <v>155</v>
      </c>
      <c r="AI295">
        <f t="shared" si="59"/>
        <v>162.83333333333334</v>
      </c>
      <c r="AJ295">
        <f t="shared" si="59"/>
        <v>153.83333333333334</v>
      </c>
      <c r="AK295">
        <f t="shared" si="59"/>
        <v>152.20000000000002</v>
      </c>
      <c r="AL295">
        <f t="shared" si="59"/>
        <v>160.03333333333333</v>
      </c>
      <c r="AM295">
        <f t="shared" si="59"/>
        <v>112.86666666666667</v>
      </c>
      <c r="AN295">
        <f t="shared" si="59"/>
        <v>163.36666666666667</v>
      </c>
      <c r="AO295">
        <f t="shared" si="59"/>
        <v>155.93333333333331</v>
      </c>
      <c r="AP295">
        <f t="shared" si="59"/>
        <v>168.3</v>
      </c>
      <c r="AQ295">
        <f t="shared" si="59"/>
        <v>157.19999999999999</v>
      </c>
      <c r="AR295">
        <f>AVERAGE(AD293:AD295)</f>
        <v>156.80000000000001</v>
      </c>
    </row>
    <row r="296" spans="1:44" hidden="1"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44" hidden="1"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44"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f>AVERAGE(D296:D298)</f>
        <v>144.86666666666665</v>
      </c>
      <c r="AF298">
        <f t="shared" ref="AF298:AQ298" si="60">AVERAGE(E296:E298)</f>
        <v>198.66666666666666</v>
      </c>
      <c r="AG298">
        <f t="shared" si="60"/>
        <v>164.79999999999998</v>
      </c>
      <c r="AH298">
        <f t="shared" si="60"/>
        <v>155.46666666666667</v>
      </c>
      <c r="AI298">
        <f t="shared" si="60"/>
        <v>168.9</v>
      </c>
      <c r="AJ298">
        <f t="shared" si="60"/>
        <v>164.6</v>
      </c>
      <c r="AK298">
        <f t="shared" si="60"/>
        <v>146.93333333333331</v>
      </c>
      <c r="AL298">
        <f t="shared" si="60"/>
        <v>161.86666666666665</v>
      </c>
      <c r="AM298">
        <f t="shared" si="60"/>
        <v>113.36666666666667</v>
      </c>
      <c r="AN298">
        <f t="shared" si="60"/>
        <v>163.70000000000002</v>
      </c>
      <c r="AO298">
        <f t="shared" si="60"/>
        <v>157</v>
      </c>
      <c r="AP298">
        <f t="shared" si="60"/>
        <v>169.03333333333333</v>
      </c>
      <c r="AQ298">
        <f t="shared" si="60"/>
        <v>158.53333333333333</v>
      </c>
      <c r="AR298">
        <f>AVERAGE(AD296:AD298)</f>
        <v>157.80000000000001</v>
      </c>
    </row>
    <row r="299" spans="1:44" hidden="1"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44" hidden="1"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44"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f>AVERAGE(D299:D301)</f>
        <v>146.73333333333332</v>
      </c>
      <c r="AF301">
        <f t="shared" ref="AF301:AQ301" si="61">AVERAGE(E299:E301)</f>
        <v>201.1</v>
      </c>
      <c r="AG301">
        <f t="shared" si="61"/>
        <v>170.63333333333335</v>
      </c>
      <c r="AH301">
        <f t="shared" si="61"/>
        <v>156.13333333333333</v>
      </c>
      <c r="AI301">
        <f t="shared" si="61"/>
        <v>177.30000000000004</v>
      </c>
      <c r="AJ301">
        <f t="shared" si="61"/>
        <v>167.29999999999998</v>
      </c>
      <c r="AK301">
        <f t="shared" si="61"/>
        <v>150.93333333333331</v>
      </c>
      <c r="AL301">
        <f t="shared" si="61"/>
        <v>165.46666666666667</v>
      </c>
      <c r="AM301">
        <f t="shared" si="61"/>
        <v>115</v>
      </c>
      <c r="AN301">
        <f t="shared" si="61"/>
        <v>167.7</v>
      </c>
      <c r="AO301">
        <f t="shared" si="61"/>
        <v>158.63333333333335</v>
      </c>
      <c r="AP301">
        <f t="shared" si="61"/>
        <v>170.43333333333331</v>
      </c>
      <c r="AQ301">
        <f t="shared" si="61"/>
        <v>161.19999999999999</v>
      </c>
      <c r="AR301">
        <f>AVERAGE(AD299:AD301)</f>
        <v>160.33333333333334</v>
      </c>
    </row>
    <row r="302" spans="1:44" hidden="1"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44" hidden="1"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44"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f>AVERAGE(D302:D304)</f>
        <v>147.16666666666666</v>
      </c>
      <c r="AF304">
        <f t="shared" ref="AF304:AQ304" si="62">AVERAGE(E302:E304)</f>
        <v>202.53333333333333</v>
      </c>
      <c r="AG304">
        <f t="shared" si="62"/>
        <v>180.93333333333331</v>
      </c>
      <c r="AH304">
        <f t="shared" si="62"/>
        <v>156.26666666666668</v>
      </c>
      <c r="AI304">
        <f t="shared" si="62"/>
        <v>182.1</v>
      </c>
      <c r="AJ304">
        <f t="shared" si="62"/>
        <v>164.9</v>
      </c>
      <c r="AK304">
        <f t="shared" si="62"/>
        <v>158.76666666666665</v>
      </c>
      <c r="AL304">
        <f t="shared" si="62"/>
        <v>166.13333333333333</v>
      </c>
      <c r="AM304">
        <f t="shared" si="62"/>
        <v>115.26666666666665</v>
      </c>
      <c r="AN304">
        <f t="shared" si="62"/>
        <v>168</v>
      </c>
      <c r="AO304">
        <f t="shared" si="62"/>
        <v>159.26666666666668</v>
      </c>
      <c r="AP304">
        <f t="shared" si="62"/>
        <v>172.46666666666667</v>
      </c>
      <c r="AQ304">
        <f t="shared" si="62"/>
        <v>163.1</v>
      </c>
      <c r="AR304">
        <f>AVERAGE(AD302:AD304)</f>
        <v>161.26666666666668</v>
      </c>
    </row>
    <row r="305" spans="1:44" hidden="1"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44" hidden="1"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44"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f>AVERAGE(D305:D307)</f>
        <v>146.86666666666667</v>
      </c>
      <c r="AF307">
        <f t="shared" ref="AF307:AQ307" si="63">AVERAGE(E305:E307)</f>
        <v>207.4</v>
      </c>
      <c r="AG307">
        <f t="shared" si="63"/>
        <v>182.5333333333333</v>
      </c>
      <c r="AH307">
        <f t="shared" si="63"/>
        <v>157.6</v>
      </c>
      <c r="AI307">
        <f t="shared" si="63"/>
        <v>180.46666666666667</v>
      </c>
      <c r="AJ307">
        <f t="shared" si="63"/>
        <v>164.16666666666666</v>
      </c>
      <c r="AK307">
        <f t="shared" si="63"/>
        <v>167.8</v>
      </c>
      <c r="AL307">
        <f t="shared" si="63"/>
        <v>164.1</v>
      </c>
      <c r="AM307">
        <f t="shared" si="63"/>
        <v>114.7</v>
      </c>
      <c r="AN307">
        <f t="shared" si="63"/>
        <v>167.83333333333334</v>
      </c>
      <c r="AO307">
        <f t="shared" si="63"/>
        <v>160.16666666666666</v>
      </c>
      <c r="AP307">
        <f t="shared" si="63"/>
        <v>172.23333333333335</v>
      </c>
      <c r="AQ307">
        <f t="shared" si="63"/>
        <v>164.53333333333333</v>
      </c>
      <c r="AR307">
        <f>AVERAGE(AD305:AD307)</f>
        <v>162.5</v>
      </c>
    </row>
    <row r="308" spans="1:44" hidden="1"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44" hidden="1"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44"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f>AVERAGE(D308:D310)</f>
        <v>146.93333333333337</v>
      </c>
      <c r="AF310">
        <f t="shared" ref="AF310:AQ310" si="64">AVERAGE(E308:E310)</f>
        <v>204.56666666666669</v>
      </c>
      <c r="AG310">
        <f t="shared" si="64"/>
        <v>174.4666666666667</v>
      </c>
      <c r="AH310">
        <f t="shared" si="64"/>
        <v>158.36666666666667</v>
      </c>
      <c r="AI310">
        <f t="shared" si="64"/>
        <v>184.63333333333333</v>
      </c>
      <c r="AJ310">
        <f t="shared" si="64"/>
        <v>157.93333333333334</v>
      </c>
      <c r="AK310">
        <f t="shared" si="64"/>
        <v>166.46666666666667</v>
      </c>
      <c r="AL310">
        <f t="shared" si="64"/>
        <v>163.79999999999998</v>
      </c>
      <c r="AM310">
        <f t="shared" si="64"/>
        <v>118.43333333333334</v>
      </c>
      <c r="AN310">
        <f t="shared" si="64"/>
        <v>168.26666666666668</v>
      </c>
      <c r="AO310">
        <f t="shared" si="64"/>
        <v>161.69999999999999</v>
      </c>
      <c r="AP310">
        <f t="shared" si="64"/>
        <v>173.63333333333333</v>
      </c>
      <c r="AQ310">
        <f t="shared" si="64"/>
        <v>164.36666666666667</v>
      </c>
      <c r="AR310">
        <f>AVERAGE(AD308:AD310)</f>
        <v>163.03333333333333</v>
      </c>
    </row>
    <row r="311" spans="1:44" hidden="1"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44" hidden="1"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44"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f>AVERAGE(D311:D313)</f>
        <v>147.10000000000002</v>
      </c>
      <c r="AF313">
        <f t="shared" ref="AF313:AQ313" si="65">AVERAGE(E311:E313)</f>
        <v>204.5</v>
      </c>
      <c r="AG313">
        <f t="shared" si="65"/>
        <v>172.9666666666667</v>
      </c>
      <c r="AH313">
        <f t="shared" si="65"/>
        <v>158.5</v>
      </c>
      <c r="AI313">
        <f t="shared" si="65"/>
        <v>186.16666666666666</v>
      </c>
      <c r="AJ313">
        <f t="shared" si="65"/>
        <v>156.86666666666665</v>
      </c>
      <c r="AK313">
        <f t="shared" si="65"/>
        <v>165.73333333333332</v>
      </c>
      <c r="AL313">
        <f t="shared" si="65"/>
        <v>164.16666666666666</v>
      </c>
      <c r="AM313">
        <f t="shared" si="65"/>
        <v>119.8</v>
      </c>
      <c r="AN313">
        <f t="shared" si="65"/>
        <v>168.36666666666665</v>
      </c>
      <c r="AO313">
        <f t="shared" si="65"/>
        <v>161.93333333333334</v>
      </c>
      <c r="AP313">
        <f t="shared" si="65"/>
        <v>173.93333333333331</v>
      </c>
      <c r="AQ313">
        <f t="shared" si="65"/>
        <v>164.46666666666667</v>
      </c>
      <c r="AR313">
        <f>AVERAGE(AD311:AD313)</f>
        <v>163.16666666666666</v>
      </c>
    </row>
    <row r="314" spans="1:44" hidden="1"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44" hidden="1"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44"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f>AVERAGE(D314:D316)</f>
        <v>147.86666666666667</v>
      </c>
      <c r="AF316">
        <f t="shared" ref="AF316:AQ316" si="66">AVERAGE(E314:E316)</f>
        <v>205.16666666666666</v>
      </c>
      <c r="AG316">
        <f t="shared" si="66"/>
        <v>171.43333333333331</v>
      </c>
      <c r="AH316">
        <f t="shared" si="66"/>
        <v>158.76666666666668</v>
      </c>
      <c r="AI316">
        <f t="shared" si="66"/>
        <v>188.66666666666666</v>
      </c>
      <c r="AJ316">
        <f t="shared" si="66"/>
        <v>155.86666666666665</v>
      </c>
      <c r="AK316">
        <f t="shared" si="66"/>
        <v>190.03333333333333</v>
      </c>
      <c r="AL316">
        <f t="shared" si="66"/>
        <v>165.23333333333332</v>
      </c>
      <c r="AM316">
        <f t="shared" si="66"/>
        <v>122</v>
      </c>
      <c r="AN316">
        <f t="shared" si="66"/>
        <v>168.9</v>
      </c>
      <c r="AO316">
        <f t="shared" si="66"/>
        <v>162.46666666666667</v>
      </c>
      <c r="AP316">
        <f t="shared" si="66"/>
        <v>174.73333333333335</v>
      </c>
      <c r="AQ316">
        <f t="shared" si="66"/>
        <v>168.23333333333332</v>
      </c>
      <c r="AR316">
        <f>AVERAGE(AD314:AD316)</f>
        <v>165.46666666666667</v>
      </c>
    </row>
    <row r="317" spans="1:44" hidden="1"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44" hidden="1"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44"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f>AVERAGE(D317:D319)</f>
        <v>148.69999999999999</v>
      </c>
      <c r="AF319">
        <f t="shared" ref="AF319:AQ319" si="67">AVERAGE(E317:E319)</f>
        <v>202.10000000000002</v>
      </c>
      <c r="AG319">
        <f t="shared" si="67"/>
        <v>173.29999999999998</v>
      </c>
      <c r="AH319">
        <f t="shared" si="67"/>
        <v>159.33333333333334</v>
      </c>
      <c r="AI319">
        <f t="shared" si="67"/>
        <v>188.10000000000002</v>
      </c>
      <c r="AJ319">
        <f t="shared" si="67"/>
        <v>156.66666666666666</v>
      </c>
      <c r="AK319">
        <f t="shared" si="67"/>
        <v>204.06666666666669</v>
      </c>
      <c r="AL319">
        <f t="shared" si="67"/>
        <v>165.26666666666668</v>
      </c>
      <c r="AM319">
        <f t="shared" si="67"/>
        <v>122.53333333333335</v>
      </c>
      <c r="AN319">
        <f t="shared" si="67"/>
        <v>169.20000000000002</v>
      </c>
      <c r="AO319">
        <f t="shared" si="67"/>
        <v>162.96666666666667</v>
      </c>
      <c r="AP319">
        <f t="shared" si="67"/>
        <v>175.53333333333333</v>
      </c>
      <c r="AQ319">
        <f t="shared" si="67"/>
        <v>170.23333333333332</v>
      </c>
      <c r="AR319">
        <f>AVERAGE(AD317:AD319)</f>
        <v>166.63333333333333</v>
      </c>
    </row>
    <row r="320" spans="1:44" hidden="1"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44" hidden="1"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44"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f>AVERAGE(D320:D322)</f>
        <v>149.23333333333332</v>
      </c>
      <c r="AF322">
        <f t="shared" ref="AF322:AQ322" si="68">AVERAGE(E320:E322)</f>
        <v>199.33333333333334</v>
      </c>
      <c r="AG322">
        <f t="shared" si="68"/>
        <v>178.13333333333333</v>
      </c>
      <c r="AH322">
        <f t="shared" si="68"/>
        <v>159.9</v>
      </c>
      <c r="AI322">
        <f t="shared" si="68"/>
        <v>185.63333333333333</v>
      </c>
      <c r="AJ322">
        <f t="shared" si="68"/>
        <v>155.06666666666669</v>
      </c>
      <c r="AK322">
        <f t="shared" si="68"/>
        <v>193.36666666666667</v>
      </c>
      <c r="AL322">
        <f t="shared" si="68"/>
        <v>164.36666666666667</v>
      </c>
      <c r="AM322">
        <f t="shared" si="68"/>
        <v>121.16666666666667</v>
      </c>
      <c r="AN322">
        <f t="shared" si="68"/>
        <v>170.13333333333333</v>
      </c>
      <c r="AO322">
        <f t="shared" si="68"/>
        <v>163.46666666666667</v>
      </c>
      <c r="AP322">
        <f t="shared" si="68"/>
        <v>176.6</v>
      </c>
      <c r="AQ322">
        <f t="shared" si="68"/>
        <v>168.73333333333332</v>
      </c>
      <c r="AR322">
        <f>AVERAGE(AD320:AD322)</f>
        <v>166.13333333333333</v>
      </c>
    </row>
    <row r="323" spans="1:44" hidden="1"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44" hidden="1"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44"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f>AVERAGE(D323:D325)</f>
        <v>150</v>
      </c>
      <c r="AF325">
        <f t="shared" ref="AF325:AQ325" si="69">AVERAGE(E323:E325)</f>
        <v>199.23333333333335</v>
      </c>
      <c r="AG325">
        <f t="shared" si="69"/>
        <v>178.9666666666667</v>
      </c>
      <c r="AH325">
        <f t="shared" si="69"/>
        <v>160.46666666666667</v>
      </c>
      <c r="AI325">
        <f t="shared" si="69"/>
        <v>182.76666666666665</v>
      </c>
      <c r="AJ325">
        <f t="shared" si="69"/>
        <v>153.79999999999998</v>
      </c>
      <c r="AK325">
        <f t="shared" si="69"/>
        <v>179.0333333333333</v>
      </c>
      <c r="AL325">
        <f t="shared" si="69"/>
        <v>163.9</v>
      </c>
      <c r="AM325">
        <f t="shared" si="69"/>
        <v>120.2</v>
      </c>
      <c r="AN325">
        <f t="shared" si="69"/>
        <v>171.73333333333335</v>
      </c>
      <c r="AO325">
        <f t="shared" si="69"/>
        <v>163.56666666666666</v>
      </c>
      <c r="AP325">
        <f t="shared" si="69"/>
        <v>177.36666666666667</v>
      </c>
      <c r="AQ325">
        <f t="shared" si="69"/>
        <v>166.93333333333331</v>
      </c>
      <c r="AR325">
        <f>AVERAGE(AD323:AD325)</f>
        <v>165.7</v>
      </c>
    </row>
    <row r="326" spans="1:44" hidden="1"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44" hidden="1"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44"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f>AVERAGE(D326:D328)</f>
        <v>150.43333333333334</v>
      </c>
      <c r="AF328">
        <f t="shared" ref="AF328:AQ328" si="70">AVERAGE(E326:E328)</f>
        <v>201.29999999999998</v>
      </c>
      <c r="AG328">
        <f t="shared" si="70"/>
        <v>175.9</v>
      </c>
      <c r="AH328">
        <f t="shared" si="70"/>
        <v>160.66666666666666</v>
      </c>
      <c r="AI328">
        <f t="shared" si="70"/>
        <v>183</v>
      </c>
      <c r="AJ328">
        <f t="shared" si="70"/>
        <v>153.83333333333334</v>
      </c>
      <c r="AK328">
        <f t="shared" si="70"/>
        <v>174.29999999999998</v>
      </c>
      <c r="AL328">
        <f t="shared" si="70"/>
        <v>163.6</v>
      </c>
      <c r="AM328">
        <f t="shared" si="70"/>
        <v>119.2</v>
      </c>
      <c r="AN328">
        <f t="shared" si="70"/>
        <v>173.9666666666667</v>
      </c>
      <c r="AO328">
        <f t="shared" si="70"/>
        <v>163.96666666666667</v>
      </c>
      <c r="AP328">
        <f t="shared" si="70"/>
        <v>178.1</v>
      </c>
      <c r="AQ328">
        <f t="shared" si="70"/>
        <v>166.76666666666668</v>
      </c>
      <c r="AR328">
        <f>AVERAGE(AD326:AD328)</f>
        <v>166.1</v>
      </c>
    </row>
    <row r="329" spans="1:44" hidden="1"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44" hidden="1"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44"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f>AVERAGE(D329:D331)</f>
        <v>151.73333333333332</v>
      </c>
      <c r="AF331">
        <f t="shared" ref="AF331:AQ331" si="71">AVERAGE(E329:E331)</f>
        <v>211.5</v>
      </c>
      <c r="AG331">
        <f t="shared" si="71"/>
        <v>167.8</v>
      </c>
      <c r="AH331">
        <f t="shared" si="71"/>
        <v>162.26666666666668</v>
      </c>
      <c r="AI331">
        <f t="shared" si="71"/>
        <v>192.56666666666669</v>
      </c>
      <c r="AJ331">
        <f t="shared" si="71"/>
        <v>157.70000000000002</v>
      </c>
      <c r="AK331">
        <f t="shared" si="71"/>
        <v>170.36666666666667</v>
      </c>
      <c r="AL331">
        <f t="shared" si="71"/>
        <v>163.83333333333334</v>
      </c>
      <c r="AM331">
        <f t="shared" si="71"/>
        <v>119.06666666666666</v>
      </c>
      <c r="AN331">
        <f t="shared" si="71"/>
        <v>176.93333333333331</v>
      </c>
      <c r="AO331">
        <f t="shared" si="71"/>
        <v>164.53333333333333</v>
      </c>
      <c r="AP331">
        <f t="shared" si="71"/>
        <v>179.4</v>
      </c>
      <c r="AQ331">
        <f t="shared" si="71"/>
        <v>168.83333333333334</v>
      </c>
      <c r="AR331">
        <f>AVERAGE(AD329:AD331)</f>
        <v>167.63333333333333</v>
      </c>
    </row>
    <row r="332" spans="1:44" hidden="1"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44" hidden="1"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44"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f>AVERAGE(D332:D334)</f>
        <v>153.36666666666667</v>
      </c>
      <c r="AF334">
        <f t="shared" ref="AF334:AQ334" si="72">AVERAGE(E332:E334)</f>
        <v>212.43333333333331</v>
      </c>
      <c r="AG334">
        <f t="shared" si="72"/>
        <v>164.53333333333333</v>
      </c>
      <c r="AH334">
        <f t="shared" si="72"/>
        <v>163.96666666666667</v>
      </c>
      <c r="AI334">
        <f t="shared" si="72"/>
        <v>197.63333333333333</v>
      </c>
      <c r="AJ334">
        <f t="shared" si="72"/>
        <v>172.73333333333335</v>
      </c>
      <c r="AK334">
        <f t="shared" si="72"/>
        <v>170.16666666666666</v>
      </c>
      <c r="AL334">
        <f t="shared" si="72"/>
        <v>164.6</v>
      </c>
      <c r="AM334">
        <f t="shared" si="72"/>
        <v>119.23333333333333</v>
      </c>
      <c r="AN334">
        <f t="shared" si="72"/>
        <v>180.73333333333335</v>
      </c>
      <c r="AO334">
        <f t="shared" si="72"/>
        <v>165.36666666666665</v>
      </c>
      <c r="AP334">
        <f t="shared" si="72"/>
        <v>181.03333333333333</v>
      </c>
      <c r="AQ334">
        <f t="shared" si="72"/>
        <v>171.30000000000004</v>
      </c>
      <c r="AR334">
        <f>AVERAGE(AD332:AD334)</f>
        <v>170.03333333333333</v>
      </c>
    </row>
    <row r="335" spans="1:44" hidden="1"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44" hidden="1"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44"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f>AVERAGE(D335:D337)</f>
        <v>154.56666666666669</v>
      </c>
      <c r="AF337">
        <f t="shared" ref="AF337:AO337" si="73">AVERAGE(E335:E337)</f>
        <v>217.63333333333333</v>
      </c>
      <c r="AG337">
        <f t="shared" si="73"/>
        <v>162.63333333333333</v>
      </c>
      <c r="AH337">
        <f t="shared" si="73"/>
        <v>164.96666666666667</v>
      </c>
      <c r="AI337">
        <f t="shared" si="73"/>
        <v>200.6</v>
      </c>
      <c r="AJ337">
        <f t="shared" si="73"/>
        <v>171.16666666666666</v>
      </c>
      <c r="AK337">
        <f t="shared" si="73"/>
        <v>179.5</v>
      </c>
      <c r="AL337">
        <f t="shared" si="73"/>
        <v>164.6</v>
      </c>
      <c r="AM337">
        <f t="shared" si="73"/>
        <v>119.93333333333334</v>
      </c>
      <c r="AN337">
        <f t="shared" si="73"/>
        <v>184.29999999999998</v>
      </c>
      <c r="AO337">
        <f t="shared" si="73"/>
        <v>166.26666666666665</v>
      </c>
      <c r="AP337">
        <f t="shared" ref="AP337" si="74">AVERAGE(O335:O337)</f>
        <v>182.6</v>
      </c>
      <c r="AQ337">
        <f t="shared" ref="AQ337" si="75">AVERAGE(P335:P337)</f>
        <v>173.86666666666667</v>
      </c>
      <c r="AR337">
        <f>AVERAGE(AD335:AD337)</f>
        <v>171.66666666666666</v>
      </c>
    </row>
    <row r="338" spans="1:44" hidden="1"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44" hidden="1"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44"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f>AVERAGE(D338:D340)</f>
        <v>155.43333333333334</v>
      </c>
      <c r="AF340">
        <f t="shared" ref="AF340:AQ340" si="76">AVERAGE(E338:E340)</f>
        <v>220</v>
      </c>
      <c r="AG340">
        <f t="shared" si="76"/>
        <v>171.06666666666669</v>
      </c>
      <c r="AH340">
        <f t="shared" si="76"/>
        <v>165.86666666666667</v>
      </c>
      <c r="AI340">
        <f t="shared" si="76"/>
        <v>199.20000000000002</v>
      </c>
      <c r="AJ340">
        <f t="shared" si="76"/>
        <v>169.86666666666665</v>
      </c>
      <c r="AK340">
        <f t="shared" si="76"/>
        <v>187.03333333333333</v>
      </c>
      <c r="AL340">
        <f t="shared" si="76"/>
        <v>164.16666666666666</v>
      </c>
      <c r="AM340">
        <f t="shared" si="76"/>
        <v>120.13333333333333</v>
      </c>
      <c r="AN340">
        <f t="shared" si="76"/>
        <v>186.5</v>
      </c>
      <c r="AO340">
        <f t="shared" si="76"/>
        <v>167.06666666666663</v>
      </c>
      <c r="AP340">
        <f t="shared" si="76"/>
        <v>184.03333333333333</v>
      </c>
      <c r="AQ340">
        <f t="shared" si="76"/>
        <v>175.53333333333333</v>
      </c>
      <c r="AR340">
        <f>AVERAGE(AD338:AD340)</f>
        <v>172.53333333333333</v>
      </c>
    </row>
    <row r="341" spans="1:44" hidden="1"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44" hidden="1"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44"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f>AVERAGE(D341:D343)</f>
        <v>157</v>
      </c>
      <c r="AF343">
        <f t="shared" ref="AF343:AQ343" si="77">AVERAGE(E341:E343)</f>
        <v>213.63333333333333</v>
      </c>
      <c r="AG343">
        <f t="shared" si="77"/>
        <v>175.36666666666665</v>
      </c>
      <c r="AH343">
        <f t="shared" si="77"/>
        <v>166.66666666666666</v>
      </c>
      <c r="AI343">
        <f t="shared" si="77"/>
        <v>194.26666666666665</v>
      </c>
      <c r="AJ343">
        <f t="shared" si="77"/>
        <v>174.43333333333331</v>
      </c>
      <c r="AK343">
        <f t="shared" si="77"/>
        <v>186.4</v>
      </c>
      <c r="AL343">
        <f t="shared" si="77"/>
        <v>164.23333333333332</v>
      </c>
      <c r="AM343">
        <f t="shared" si="77"/>
        <v>120.23333333333333</v>
      </c>
      <c r="AN343">
        <f t="shared" si="77"/>
        <v>189.36666666666667</v>
      </c>
      <c r="AO343">
        <f t="shared" si="77"/>
        <v>167.56666666666669</v>
      </c>
      <c r="AP343">
        <f t="shared" si="77"/>
        <v>185.33333333333334</v>
      </c>
      <c r="AQ343">
        <f t="shared" si="77"/>
        <v>175.63333333333333</v>
      </c>
      <c r="AR343">
        <f>AVERAGE(AD341:AD343)</f>
        <v>173.33333333333334</v>
      </c>
    </row>
    <row r="344" spans="1:44" hidden="1"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44" hidden="1"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44"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f>AVERAGE(D344:D346)</f>
        <v>160.63333333333335</v>
      </c>
      <c r="AF346">
        <f t="shared" ref="AF346:AQ346" si="78">AVERAGE(E344:E346)</f>
        <v>207.16666666666666</v>
      </c>
      <c r="AG346">
        <f t="shared" si="78"/>
        <v>169.36666666666665</v>
      </c>
      <c r="AH346">
        <f t="shared" si="78"/>
        <v>168.13333333333333</v>
      </c>
      <c r="AI346">
        <f t="shared" si="78"/>
        <v>191</v>
      </c>
      <c r="AJ346">
        <f t="shared" si="78"/>
        <v>173.06666666666663</v>
      </c>
      <c r="AK346">
        <f t="shared" si="78"/>
        <v>190.96666666666667</v>
      </c>
      <c r="AL346">
        <f t="shared" si="78"/>
        <v>167.2</v>
      </c>
      <c r="AM346">
        <f t="shared" si="78"/>
        <v>121.10000000000001</v>
      </c>
      <c r="AN346">
        <f t="shared" si="78"/>
        <v>192.96666666666667</v>
      </c>
      <c r="AO346">
        <f t="shared" si="78"/>
        <v>168.03333333333333</v>
      </c>
      <c r="AP346">
        <f t="shared" si="78"/>
        <v>186.4</v>
      </c>
      <c r="AQ346">
        <f t="shared" si="78"/>
        <v>176.86666666666667</v>
      </c>
      <c r="AR346">
        <f>AVERAGE(AD344:AD346)</f>
        <v>174.23333333333335</v>
      </c>
    </row>
    <row r="347" spans="1:44" hidden="1"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44" hidden="1"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44"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f>AVERAGE(D347:D349)</f>
        <v>163.76666666666668</v>
      </c>
      <c r="AF349">
        <f t="shared" ref="AF349:AQ349" si="79">AVERAGE(E347:E349)</f>
        <v>209.86666666666665</v>
      </c>
      <c r="AG349">
        <f t="shared" si="79"/>
        <v>169.86666666666665</v>
      </c>
      <c r="AH349">
        <f t="shared" si="79"/>
        <v>169.76666666666668</v>
      </c>
      <c r="AI349">
        <f t="shared" si="79"/>
        <v>187.36666666666665</v>
      </c>
      <c r="AJ349">
        <f t="shared" si="79"/>
        <v>165.76666666666668</v>
      </c>
      <c r="AK349">
        <f t="shared" si="79"/>
        <v>196.5</v>
      </c>
      <c r="AL349">
        <f t="shared" si="79"/>
        <v>169.1</v>
      </c>
      <c r="AM349">
        <f t="shared" si="79"/>
        <v>121.83333333333333</v>
      </c>
      <c r="AN349">
        <f t="shared" si="79"/>
        <v>196.66666666666666</v>
      </c>
      <c r="AO349">
        <f t="shared" si="79"/>
        <v>168.63333333333333</v>
      </c>
      <c r="AP349">
        <f t="shared" si="79"/>
        <v>187.53333333333333</v>
      </c>
      <c r="AQ349">
        <f t="shared" si="79"/>
        <v>178.36666666666667</v>
      </c>
      <c r="AR349">
        <f>AVERAGE(AD347:AD349)</f>
        <v>175.26666666666665</v>
      </c>
    </row>
    <row r="350" spans="1:44" hidden="1"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44" hidden="1"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44"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f>AVERAGE(D350:D352)</f>
        <v>165.43333333333334</v>
      </c>
      <c r="AF352">
        <f t="shared" ref="AF352:AQ352" si="80">AVERAGE(E350:E352)</f>
        <v>211.53333333333333</v>
      </c>
      <c r="AG352">
        <f t="shared" si="80"/>
        <v>171.03333333333333</v>
      </c>
      <c r="AH352">
        <f t="shared" si="80"/>
        <v>170.93333333333331</v>
      </c>
      <c r="AI352">
        <f t="shared" si="80"/>
        <v>185.26666666666665</v>
      </c>
      <c r="AJ352">
        <f t="shared" si="80"/>
        <v>163.9</v>
      </c>
      <c r="AK352">
        <f t="shared" si="80"/>
        <v>204.36666666666665</v>
      </c>
      <c r="AL352">
        <f t="shared" si="80"/>
        <v>169.8</v>
      </c>
      <c r="AM352">
        <f t="shared" si="80"/>
        <v>122.13333333333333</v>
      </c>
      <c r="AN352">
        <f t="shared" si="80"/>
        <v>199.29999999999998</v>
      </c>
      <c r="AO352">
        <f t="shared" si="80"/>
        <v>169.1</v>
      </c>
      <c r="AP352">
        <f t="shared" si="80"/>
        <v>188.4666666666667</v>
      </c>
      <c r="AQ352">
        <f t="shared" si="80"/>
        <v>180.10000000000002</v>
      </c>
      <c r="AR352">
        <f>AVERAGE(AD350:AD352)</f>
        <v>176.63333333333335</v>
      </c>
    </row>
    <row r="353" spans="1:44" hidden="1"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44" hidden="1"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44"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f>AVERAGE(D353:D355)</f>
        <v>167.56666666666669</v>
      </c>
      <c r="AF355">
        <f t="shared" ref="AF355:AQ355" si="81">AVERAGE(E353:E355)</f>
        <v>210</v>
      </c>
      <c r="AG355">
        <f t="shared" si="81"/>
        <v>181.6</v>
      </c>
      <c r="AH355">
        <f t="shared" si="81"/>
        <v>172.30000000000004</v>
      </c>
      <c r="AI355">
        <f t="shared" si="81"/>
        <v>187.63333333333333</v>
      </c>
      <c r="AJ355">
        <f t="shared" si="81"/>
        <v>160.79999999999998</v>
      </c>
      <c r="AK355">
        <f t="shared" si="81"/>
        <v>186.73333333333335</v>
      </c>
      <c r="AL355">
        <f t="shared" si="81"/>
        <v>170.56666666666666</v>
      </c>
      <c r="AM355">
        <f t="shared" si="81"/>
        <v>122.33333333333333</v>
      </c>
      <c r="AN355">
        <f t="shared" si="81"/>
        <v>202.13333333333335</v>
      </c>
      <c r="AO355">
        <f t="shared" si="81"/>
        <v>169.63333333333333</v>
      </c>
      <c r="AP355">
        <f t="shared" si="81"/>
        <v>189.6</v>
      </c>
      <c r="AQ355">
        <f t="shared" si="81"/>
        <v>178.73333333333335</v>
      </c>
      <c r="AR355">
        <f>AVERAGE(AD353:AD355)</f>
        <v>176.13333333333333</v>
      </c>
    </row>
    <row r="356" spans="1:44" hidden="1"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44" hidden="1"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44"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f>AVERAGE(D356:D358)</f>
        <v>169.4</v>
      </c>
      <c r="AF358">
        <f t="shared" ref="AF358:AQ358" si="82">AVERAGE(E356:E358)</f>
        <v>209.6</v>
      </c>
      <c r="AG358">
        <f t="shared" si="82"/>
        <v>190.4</v>
      </c>
      <c r="AH358">
        <f t="shared" si="82"/>
        <v>173.63333333333333</v>
      </c>
      <c r="AI358">
        <f t="shared" si="82"/>
        <v>187.16666666666666</v>
      </c>
      <c r="AJ358">
        <f t="shared" si="82"/>
        <v>158.06666666666666</v>
      </c>
      <c r="AK358">
        <f t="shared" si="82"/>
        <v>162.93333333333331</v>
      </c>
      <c r="AL358">
        <f t="shared" si="82"/>
        <v>170.86666666666667</v>
      </c>
      <c r="AM358">
        <f t="shared" si="82"/>
        <v>122.03333333333335</v>
      </c>
      <c r="AN358">
        <f t="shared" si="82"/>
        <v>204.4</v>
      </c>
      <c r="AO358">
        <f t="shared" si="82"/>
        <v>170.20000000000002</v>
      </c>
      <c r="AP358">
        <f t="shared" si="82"/>
        <v>190.43333333333331</v>
      </c>
      <c r="AQ358">
        <f t="shared" si="82"/>
        <v>176.29999999999998</v>
      </c>
      <c r="AR358">
        <f>AVERAGE(AD356:AD358)</f>
        <v>175.63333333333333</v>
      </c>
    </row>
    <row r="359" spans="1:44" hidden="1"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44" hidden="1"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44"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f>AVERAGE(D359:D361)</f>
        <v>173.70000000000002</v>
      </c>
      <c r="AF361">
        <f t="shared" ref="AF361:AQ361" si="83">AVERAGE(E359:E361)</f>
        <v>211.4</v>
      </c>
      <c r="AG361">
        <f t="shared" si="83"/>
        <v>194.79999999999998</v>
      </c>
      <c r="AH361">
        <f t="shared" si="83"/>
        <v>174.70000000000002</v>
      </c>
      <c r="AI361">
        <f t="shared" si="83"/>
        <v>185.93333333333331</v>
      </c>
      <c r="AJ361">
        <f t="shared" si="83"/>
        <v>158.36666666666667</v>
      </c>
      <c r="AK361">
        <f t="shared" si="83"/>
        <v>157.36666666666667</v>
      </c>
      <c r="AL361">
        <f t="shared" si="83"/>
        <v>170.93333333333331</v>
      </c>
      <c r="AM361">
        <f t="shared" si="83"/>
        <v>121.36666666666667</v>
      </c>
      <c r="AN361">
        <f t="shared" si="83"/>
        <v>207.73333333333335</v>
      </c>
      <c r="AO361">
        <f t="shared" si="83"/>
        <v>170.66666666666666</v>
      </c>
      <c r="AP361">
        <f t="shared" si="83"/>
        <v>191.33333333333334</v>
      </c>
      <c r="AQ361">
        <f t="shared" si="83"/>
        <v>177.06666666666669</v>
      </c>
      <c r="AR361">
        <f>AVERAGE(AD359:AD361)</f>
        <v>176.4</v>
      </c>
    </row>
    <row r="362" spans="1:44" hidden="1"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44" hidden="1"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44"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f>AVERAGE(D362:D364)</f>
        <v>174.43333333333331</v>
      </c>
      <c r="AF364">
        <f t="shared" ref="AF364:AQ364" si="84">AVERAGE(E362:E364)</f>
        <v>208.36666666666665</v>
      </c>
      <c r="AG364">
        <f t="shared" si="84"/>
        <v>175.43333333333331</v>
      </c>
      <c r="AH364">
        <f t="shared" si="84"/>
        <v>177.4</v>
      </c>
      <c r="AI364">
        <f t="shared" si="84"/>
        <v>178.30000000000004</v>
      </c>
      <c r="AJ364">
        <f t="shared" si="84"/>
        <v>169.6</v>
      </c>
      <c r="AK364">
        <f t="shared" si="84"/>
        <v>156.46666666666667</v>
      </c>
      <c r="AL364">
        <f t="shared" si="84"/>
        <v>171.20000000000002</v>
      </c>
      <c r="AM364">
        <f t="shared" si="84"/>
        <v>120.33333333333333</v>
      </c>
      <c r="AN364">
        <f t="shared" si="84"/>
        <v>208.86666666666665</v>
      </c>
      <c r="AO364">
        <f t="shared" si="84"/>
        <v>171.6</v>
      </c>
      <c r="AP364">
        <f t="shared" si="84"/>
        <v>193.16666666666666</v>
      </c>
      <c r="AQ364">
        <f t="shared" si="84"/>
        <v>177.5</v>
      </c>
      <c r="AR364">
        <f>AVERAGE(AD362:AD364)</f>
        <v>177.16666666666666</v>
      </c>
    </row>
    <row r="365" spans="1:44" hidden="1"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44" hidden="1"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44"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f>AVERAGE(D365:D367)</f>
        <v>174.46666666666667</v>
      </c>
      <c r="AF367">
        <f t="shared" ref="AF367:AQ367" si="85">AVERAGE(E365:E367)</f>
        <v>208.36666666666665</v>
      </c>
      <c r="AG367">
        <f t="shared" si="85"/>
        <v>175.43333333333331</v>
      </c>
      <c r="AH367">
        <f t="shared" si="85"/>
        <v>177.4</v>
      </c>
      <c r="AI367">
        <f t="shared" si="85"/>
        <v>178.23333333333335</v>
      </c>
      <c r="AJ367">
        <f t="shared" si="85"/>
        <v>169.6</v>
      </c>
      <c r="AK367">
        <f t="shared" si="85"/>
        <v>156.53333333333333</v>
      </c>
      <c r="AL367">
        <f t="shared" si="85"/>
        <v>171.26666666666665</v>
      </c>
      <c r="AM367">
        <f t="shared" si="85"/>
        <v>120.33333333333333</v>
      </c>
      <c r="AN367">
        <f t="shared" si="85"/>
        <v>208.86666666666665</v>
      </c>
      <c r="AO367">
        <f t="shared" si="85"/>
        <v>171.6</v>
      </c>
      <c r="AP367">
        <f t="shared" si="85"/>
        <v>193.16666666666666</v>
      </c>
      <c r="AQ367">
        <f t="shared" si="85"/>
        <v>177.53333333333333</v>
      </c>
      <c r="AR367">
        <f>AVERAGE(AD365:AD367)</f>
        <v>177.16666666666666</v>
      </c>
    </row>
    <row r="368" spans="1:44" hidden="1"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44" hidden="1"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44"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f>AVERAGE(D368:D370)</f>
        <v>173.9666666666667</v>
      </c>
      <c r="AF370">
        <f t="shared" ref="AF370:AQ370" si="86">AVERAGE(E368:E370)</f>
        <v>209.9666666666667</v>
      </c>
      <c r="AG370">
        <f t="shared" si="86"/>
        <v>169.96666666666667</v>
      </c>
      <c r="AH370">
        <f t="shared" si="86"/>
        <v>178.46666666666667</v>
      </c>
      <c r="AI370">
        <f t="shared" si="86"/>
        <v>174.03333333333333</v>
      </c>
      <c r="AJ370">
        <f t="shared" si="86"/>
        <v>176.4</v>
      </c>
      <c r="AK370">
        <f t="shared" si="86"/>
        <v>159.36666666666667</v>
      </c>
      <c r="AL370">
        <f t="shared" si="86"/>
        <v>173.63333333333333</v>
      </c>
      <c r="AM370">
        <f t="shared" si="86"/>
        <v>121.60000000000001</v>
      </c>
      <c r="AN370">
        <f t="shared" si="86"/>
        <v>212.06666666666669</v>
      </c>
      <c r="AO370">
        <f t="shared" si="86"/>
        <v>172.20000000000002</v>
      </c>
      <c r="AP370">
        <f t="shared" si="86"/>
        <v>193.66666666666666</v>
      </c>
      <c r="AQ370">
        <f t="shared" si="86"/>
        <v>178.5</v>
      </c>
      <c r="AR370">
        <f>AVERAGE(AD368:AD370)</f>
        <v>178.10000000000002</v>
      </c>
    </row>
    <row r="371" spans="1:44" hidden="1"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44" hidden="1"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44"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f>AVERAGE(D371:D373)</f>
        <v>173.86666666666665</v>
      </c>
      <c r="AF373">
        <f t="shared" ref="AF373:AQ373" si="87">AVERAGE(E371:E373)</f>
        <v>215.06666666666669</v>
      </c>
      <c r="AG373">
        <f t="shared" si="87"/>
        <v>173.63333333333333</v>
      </c>
      <c r="AH373">
        <f t="shared" si="87"/>
        <v>179.5</v>
      </c>
      <c r="AI373">
        <f t="shared" si="87"/>
        <v>169.23333333333335</v>
      </c>
      <c r="AJ373">
        <f t="shared" si="87"/>
        <v>172.33333333333334</v>
      </c>
      <c r="AK373">
        <f t="shared" si="87"/>
        <v>164.9</v>
      </c>
      <c r="AL373">
        <f t="shared" si="87"/>
        <v>175.79999999999998</v>
      </c>
      <c r="AM373">
        <f t="shared" si="87"/>
        <v>122.93333333333334</v>
      </c>
      <c r="AN373">
        <f t="shared" si="87"/>
        <v>216.96666666666667</v>
      </c>
      <c r="AO373">
        <f t="shared" si="87"/>
        <v>172.66666666666666</v>
      </c>
      <c r="AP373">
        <f t="shared" si="87"/>
        <v>194.33333333333334</v>
      </c>
      <c r="AQ373">
        <f t="shared" si="87"/>
        <v>179.66666666666666</v>
      </c>
      <c r="AR373">
        <f>AVERAGE(AD371:AD373)</f>
        <v>179.03333333333333</v>
      </c>
    </row>
  </sheetData>
  <autoFilter ref="A1:AR373" xr:uid="{30508647-BACC-4748-814A-91F0393AB5C2}">
    <filterColumn colId="0">
      <filters>
        <filter val="Rural+Urban"/>
      </filters>
    </filterColumn>
    <filterColumn colId="1">
      <filters>
        <filter val="2017"/>
        <filter val="2018"/>
        <filter val="2019"/>
        <filter val="2020"/>
        <filter val="2021"/>
        <filter val="2022"/>
        <filter val="202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66A4-50BE-44F3-93AA-1D0D8E9F2BA6}">
  <dimension ref="A1:AC647"/>
  <sheetViews>
    <sheetView showGridLines="0" tabSelected="1" topLeftCell="A633" zoomScale="59" zoomScaleNormal="30" workbookViewId="0">
      <selection activeCell="P674" sqref="P674"/>
    </sheetView>
  </sheetViews>
  <sheetFormatPr defaultRowHeight="14.5" x14ac:dyDescent="0.35"/>
  <cols>
    <col min="1" max="1" width="26.08984375" customWidth="1"/>
    <col min="2" max="2" width="18.90625" bestFit="1" customWidth="1"/>
    <col min="3" max="3" width="11.81640625" customWidth="1"/>
    <col min="4" max="4" width="27.81640625" customWidth="1"/>
    <col min="5" max="5" width="19" customWidth="1"/>
    <col min="6" max="6" width="19.26953125" customWidth="1"/>
    <col min="7" max="7" width="34" bestFit="1" customWidth="1"/>
    <col min="8" max="8" width="33.81640625" bestFit="1" customWidth="1"/>
    <col min="9" max="9" width="30" customWidth="1"/>
    <col min="10" max="10" width="33" bestFit="1" customWidth="1"/>
    <col min="11" max="11" width="30.36328125" customWidth="1"/>
    <col min="12" max="12" width="42.36328125" customWidth="1"/>
    <col min="13" max="13" width="47.1796875" bestFit="1" customWidth="1"/>
    <col min="14" max="14" width="34.81640625" customWidth="1"/>
    <col min="15" max="15" width="47.1796875" bestFit="1" customWidth="1"/>
    <col min="16" max="16" width="27.36328125" bestFit="1" customWidth="1"/>
    <col min="17" max="17" width="34.81640625" customWidth="1"/>
    <col min="18" max="18" width="30.26953125" bestFit="1" customWidth="1"/>
    <col min="19" max="19" width="20.453125" customWidth="1"/>
    <col min="20" max="20" width="36" customWidth="1"/>
    <col min="21" max="21" width="40.1796875" bestFit="1" customWidth="1"/>
    <col min="22" max="22" width="35" customWidth="1"/>
    <col min="23" max="23" width="38.81640625" bestFit="1" customWidth="1"/>
    <col min="24" max="24" width="35.08984375" bestFit="1" customWidth="1"/>
    <col min="25" max="25" width="35" customWidth="1"/>
    <col min="26" max="26" width="33.81640625" bestFit="1" customWidth="1"/>
    <col min="27" max="27" width="19.6328125" bestFit="1" customWidth="1"/>
    <col min="28" max="28" width="30.90625" customWidth="1"/>
    <col min="29" max="29" width="18.54296875" customWidth="1"/>
  </cols>
  <sheetData>
    <row r="1" spans="1:27" x14ac:dyDescent="0.35">
      <c r="A1" s="31" t="s">
        <v>108</v>
      </c>
      <c r="B1" s="31"/>
      <c r="C1" s="31"/>
      <c r="D1" s="31"/>
      <c r="E1" s="31"/>
      <c r="F1" s="31"/>
      <c r="G1" s="31"/>
      <c r="H1" s="31"/>
      <c r="I1" s="31"/>
      <c r="J1" s="31"/>
      <c r="K1" s="31"/>
      <c r="L1" s="31"/>
      <c r="M1" s="31"/>
      <c r="N1" s="31"/>
      <c r="O1" s="31"/>
      <c r="P1" s="2"/>
      <c r="Q1" s="2"/>
      <c r="R1" s="2"/>
      <c r="S1" s="2"/>
      <c r="T1" s="2"/>
      <c r="U1" s="2"/>
      <c r="V1" s="2"/>
      <c r="W1" s="2"/>
      <c r="X1" s="2"/>
      <c r="Y1" s="2"/>
      <c r="Z1" s="2"/>
      <c r="AA1" s="2"/>
    </row>
    <row r="3" spans="1:27" x14ac:dyDescent="0.35">
      <c r="A3" s="9" t="s">
        <v>1</v>
      </c>
      <c r="B3" s="11" t="s">
        <v>2</v>
      </c>
    </row>
    <row r="4" spans="1:27" x14ac:dyDescent="0.35">
      <c r="A4" s="15">
        <v>2023</v>
      </c>
      <c r="B4" s="21" t="s">
        <v>38</v>
      </c>
    </row>
    <row r="6" spans="1:27" x14ac:dyDescent="0.35">
      <c r="A6" s="9" t="s">
        <v>0</v>
      </c>
      <c r="B6" s="10" t="s">
        <v>3</v>
      </c>
      <c r="C6" s="10" t="s">
        <v>4</v>
      </c>
      <c r="D6" s="10" t="s">
        <v>5</v>
      </c>
      <c r="E6" s="10" t="s">
        <v>6</v>
      </c>
      <c r="F6" s="10" t="s">
        <v>7</v>
      </c>
      <c r="G6" s="10" t="s">
        <v>8</v>
      </c>
      <c r="H6" s="10" t="s">
        <v>9</v>
      </c>
      <c r="I6" s="10" t="s">
        <v>10</v>
      </c>
      <c r="J6" s="10" t="s">
        <v>11</v>
      </c>
      <c r="K6" s="10" t="s">
        <v>12</v>
      </c>
      <c r="L6" s="10" t="s">
        <v>13</v>
      </c>
      <c r="M6" s="10" t="s">
        <v>14</v>
      </c>
      <c r="N6" s="10" t="s">
        <v>15</v>
      </c>
      <c r="O6" s="10" t="s">
        <v>16</v>
      </c>
      <c r="P6" s="10" t="s">
        <v>17</v>
      </c>
      <c r="Q6" s="10" t="s">
        <v>18</v>
      </c>
      <c r="R6" s="10" t="s">
        <v>19</v>
      </c>
      <c r="S6" s="10" t="s">
        <v>20</v>
      </c>
      <c r="T6" s="10" t="s">
        <v>21</v>
      </c>
      <c r="U6" s="10" t="s">
        <v>22</v>
      </c>
      <c r="V6" s="10" t="s">
        <v>23</v>
      </c>
      <c r="W6" s="10" t="s">
        <v>24</v>
      </c>
      <c r="X6" s="10" t="s">
        <v>25</v>
      </c>
      <c r="Y6" s="10" t="s">
        <v>26</v>
      </c>
      <c r="Z6" s="10" t="s">
        <v>27</v>
      </c>
      <c r="AA6" s="11" t="s">
        <v>28</v>
      </c>
    </row>
    <row r="7" spans="1:27" x14ac:dyDescent="0.35">
      <c r="A7" s="15" t="s">
        <v>49</v>
      </c>
      <c r="B7" s="16">
        <v>173.86666666666665</v>
      </c>
      <c r="C7" s="16">
        <v>215.06666666666669</v>
      </c>
      <c r="D7" s="16">
        <v>173.63333333333333</v>
      </c>
      <c r="E7" s="16">
        <v>179.5</v>
      </c>
      <c r="F7" s="16">
        <v>169.23333333333335</v>
      </c>
      <c r="G7" s="16">
        <v>172.33333333333334</v>
      </c>
      <c r="H7" s="16">
        <v>164.9</v>
      </c>
      <c r="I7" s="16">
        <v>175.79999999999998</v>
      </c>
      <c r="J7" s="16">
        <v>122.93333333333334</v>
      </c>
      <c r="K7" s="16">
        <v>216.96666666666667</v>
      </c>
      <c r="L7" s="16">
        <v>172.66666666666666</v>
      </c>
      <c r="M7" s="16">
        <v>194.33333333333334</v>
      </c>
      <c r="N7" s="16">
        <v>179.66666666666666</v>
      </c>
      <c r="O7" s="16">
        <v>201.70000000000002</v>
      </c>
      <c r="P7" s="16">
        <v>186.6</v>
      </c>
      <c r="Q7" s="16">
        <v>178.56666666666669</v>
      </c>
      <c r="R7" s="16">
        <v>185.43333333333331</v>
      </c>
      <c r="S7" s="16">
        <v>175.6</v>
      </c>
      <c r="T7" s="16">
        <v>182.9</v>
      </c>
      <c r="U7" s="16">
        <v>175.0333333333333</v>
      </c>
      <c r="V7" s="16">
        <v>185.23333333333335</v>
      </c>
      <c r="W7" s="16">
        <v>164.96666666666667</v>
      </c>
      <c r="X7" s="16">
        <v>171.4</v>
      </c>
      <c r="Y7" s="16">
        <v>177.4</v>
      </c>
      <c r="Z7" s="16">
        <v>185.23333333333335</v>
      </c>
      <c r="AA7" s="17">
        <v>175.6</v>
      </c>
    </row>
    <row r="11" spans="1:27" x14ac:dyDescent="0.35">
      <c r="A11" s="7" t="s">
        <v>50</v>
      </c>
    </row>
    <row r="12" spans="1:27" x14ac:dyDescent="0.35">
      <c r="A12" s="9" t="s">
        <v>95</v>
      </c>
      <c r="B12" s="10" t="s">
        <v>16</v>
      </c>
      <c r="C12" s="10" t="s">
        <v>51</v>
      </c>
      <c r="D12" s="10" t="s">
        <v>20</v>
      </c>
      <c r="E12" s="10" t="s">
        <v>21</v>
      </c>
      <c r="F12" s="11" t="s">
        <v>28</v>
      </c>
    </row>
    <row r="13" spans="1:27" x14ac:dyDescent="0.35">
      <c r="A13" s="20">
        <f>SUM(B7:N7)</f>
        <v>2310.9</v>
      </c>
      <c r="B13" s="16">
        <f>O7</f>
        <v>201.70000000000002</v>
      </c>
      <c r="C13" s="16">
        <f>SUM(P7:R7)</f>
        <v>550.6</v>
      </c>
      <c r="D13" s="16">
        <f>S7</f>
        <v>175.6</v>
      </c>
      <c r="E13" s="16">
        <f>T7</f>
        <v>182.9</v>
      </c>
      <c r="F13" s="17">
        <f>SUM(U7:AA7)</f>
        <v>1234.8666666666666</v>
      </c>
    </row>
    <row r="19" spans="1:4" x14ac:dyDescent="0.35">
      <c r="A19" s="9" t="s">
        <v>52</v>
      </c>
      <c r="B19" s="10" t="s">
        <v>94</v>
      </c>
      <c r="C19" s="11" t="s">
        <v>53</v>
      </c>
    </row>
    <row r="20" spans="1:4" x14ac:dyDescent="0.35">
      <c r="A20" s="42" t="s">
        <v>95</v>
      </c>
      <c r="B20" s="43" cm="1">
        <f t="array" ref="B20:B25">TRANSPOSE(A13:F13)</f>
        <v>2310.9</v>
      </c>
      <c r="C20" s="44">
        <f>(B20/$B$26)*100</f>
        <v>49.626692054947497</v>
      </c>
      <c r="D20" s="45" t="s">
        <v>55</v>
      </c>
    </row>
    <row r="21" spans="1:4" x14ac:dyDescent="0.35">
      <c r="A21" s="46" t="s">
        <v>16</v>
      </c>
      <c r="B21" s="47">
        <v>201.70000000000002</v>
      </c>
      <c r="C21" s="48">
        <f t="shared" ref="C21:C25" si="0">(B21/$B$26)*100</f>
        <v>4.3315174985862264</v>
      </c>
      <c r="D21" s="49"/>
    </row>
    <row r="22" spans="1:4" x14ac:dyDescent="0.35">
      <c r="A22" s="12" t="s">
        <v>51</v>
      </c>
      <c r="B22" s="1">
        <v>550.6</v>
      </c>
      <c r="C22" s="13">
        <f t="shared" si="0"/>
        <v>11.824162294107964</v>
      </c>
    </row>
    <row r="23" spans="1:4" x14ac:dyDescent="0.35">
      <c r="A23" s="12" t="s">
        <v>20</v>
      </c>
      <c r="B23">
        <v>175.6</v>
      </c>
      <c r="C23" s="13">
        <f t="shared" si="0"/>
        <v>3.7710187047681769</v>
      </c>
    </row>
    <row r="24" spans="1:4" x14ac:dyDescent="0.35">
      <c r="A24" s="12" t="s">
        <v>21</v>
      </c>
      <c r="B24" s="14">
        <v>182.9</v>
      </c>
      <c r="C24" s="13">
        <f t="shared" si="0"/>
        <v>3.9277865666406586</v>
      </c>
    </row>
    <row r="25" spans="1:4" x14ac:dyDescent="0.35">
      <c r="A25" s="12" t="s">
        <v>28</v>
      </c>
      <c r="B25" s="1">
        <v>1234.8666666666666</v>
      </c>
      <c r="C25" s="13">
        <f t="shared" si="0"/>
        <v>26.518822880949482</v>
      </c>
    </row>
    <row r="26" spans="1:4" x14ac:dyDescent="0.35">
      <c r="A26" s="15" t="s">
        <v>54</v>
      </c>
      <c r="B26" s="16">
        <f>SUM(_xlfn.ANCHORARRAY(B20))</f>
        <v>4656.5666666666666</v>
      </c>
      <c r="C26" s="17">
        <f>SUM(C20:C25)</f>
        <v>100.00000000000001</v>
      </c>
    </row>
    <row r="38" spans="1:4" x14ac:dyDescent="0.35">
      <c r="A38" s="32" t="s">
        <v>109</v>
      </c>
      <c r="B38" s="33"/>
      <c r="C38" s="33"/>
      <c r="D38" s="34"/>
    </row>
    <row r="39" spans="1:4" x14ac:dyDescent="0.35">
      <c r="A39" s="5" t="s">
        <v>0</v>
      </c>
      <c r="B39" s="5" t="s">
        <v>1</v>
      </c>
      <c r="C39" s="5" t="s">
        <v>2</v>
      </c>
      <c r="D39" s="5" t="s">
        <v>56</v>
      </c>
    </row>
    <row r="40" spans="1:4" x14ac:dyDescent="0.35">
      <c r="A40" s="51" t="s">
        <v>34</v>
      </c>
      <c r="B40">
        <v>2017</v>
      </c>
      <c r="C40" t="s">
        <v>31</v>
      </c>
      <c r="D40" s="50">
        <v>130.16666666666666</v>
      </c>
    </row>
    <row r="41" spans="1:4" x14ac:dyDescent="0.35">
      <c r="A41" s="51" t="s">
        <v>34</v>
      </c>
      <c r="B41">
        <v>2017</v>
      </c>
      <c r="C41" t="s">
        <v>35</v>
      </c>
      <c r="D41" s="50">
        <v>130.46666666666667</v>
      </c>
    </row>
    <row r="42" spans="1:4" x14ac:dyDescent="0.35">
      <c r="A42" s="51" t="s">
        <v>34</v>
      </c>
      <c r="B42">
        <v>2017</v>
      </c>
      <c r="C42" t="s">
        <v>36</v>
      </c>
      <c r="D42" s="50">
        <v>130.79999999999998</v>
      </c>
    </row>
    <row r="43" spans="1:4" x14ac:dyDescent="0.35">
      <c r="A43" s="51" t="s">
        <v>34</v>
      </c>
      <c r="B43">
        <v>2017</v>
      </c>
      <c r="C43" t="s">
        <v>37</v>
      </c>
      <c r="D43" s="50">
        <v>131.03333333333333</v>
      </c>
    </row>
    <row r="44" spans="1:4" x14ac:dyDescent="0.35">
      <c r="A44" s="51" t="s">
        <v>34</v>
      </c>
      <c r="B44">
        <v>2017</v>
      </c>
      <c r="C44" t="s">
        <v>38</v>
      </c>
      <c r="D44" s="50">
        <v>131.33333333333334</v>
      </c>
    </row>
    <row r="45" spans="1:4" x14ac:dyDescent="0.35">
      <c r="A45" s="51" t="s">
        <v>34</v>
      </c>
      <c r="B45">
        <v>2017</v>
      </c>
      <c r="C45" t="s">
        <v>39</v>
      </c>
      <c r="D45" s="50">
        <v>131.93333333333334</v>
      </c>
    </row>
    <row r="46" spans="1:4" x14ac:dyDescent="0.35">
      <c r="A46" s="51" t="s">
        <v>34</v>
      </c>
      <c r="B46">
        <v>2017</v>
      </c>
      <c r="C46" t="s">
        <v>40</v>
      </c>
      <c r="D46" s="50">
        <v>134.06666666666666</v>
      </c>
    </row>
    <row r="47" spans="1:4" x14ac:dyDescent="0.35">
      <c r="A47" s="51" t="s">
        <v>34</v>
      </c>
      <c r="B47">
        <v>2017</v>
      </c>
      <c r="C47" t="s">
        <v>41</v>
      </c>
      <c r="D47" s="50">
        <v>135.29999999999998</v>
      </c>
    </row>
    <row r="48" spans="1:4" x14ac:dyDescent="0.35">
      <c r="A48" s="51" t="s">
        <v>34</v>
      </c>
      <c r="B48">
        <v>2017</v>
      </c>
      <c r="C48" t="s">
        <v>42</v>
      </c>
      <c r="D48" s="50">
        <v>135.06666666666666</v>
      </c>
    </row>
    <row r="49" spans="1:4" x14ac:dyDescent="0.35">
      <c r="A49" s="51" t="s">
        <v>34</v>
      </c>
      <c r="B49">
        <v>2017</v>
      </c>
      <c r="C49" t="s">
        <v>43</v>
      </c>
      <c r="D49" s="50">
        <v>135.96666666666667</v>
      </c>
    </row>
    <row r="50" spans="1:4" x14ac:dyDescent="0.35">
      <c r="A50" s="51" t="s">
        <v>34</v>
      </c>
      <c r="B50">
        <v>2017</v>
      </c>
      <c r="C50" t="s">
        <v>45</v>
      </c>
      <c r="D50" s="50">
        <v>137.46666666666667</v>
      </c>
    </row>
    <row r="51" spans="1:4" x14ac:dyDescent="0.35">
      <c r="A51" s="51" t="s">
        <v>34</v>
      </c>
      <c r="B51">
        <v>2017</v>
      </c>
      <c r="C51" t="s">
        <v>46</v>
      </c>
      <c r="D51" s="50">
        <v>137.03333333333333</v>
      </c>
    </row>
    <row r="52" spans="1:4" x14ac:dyDescent="0.35">
      <c r="A52" s="51" t="s">
        <v>34</v>
      </c>
      <c r="B52">
        <v>2018</v>
      </c>
      <c r="C52" t="s">
        <v>31</v>
      </c>
      <c r="D52" s="50">
        <v>136.76666666666665</v>
      </c>
    </row>
    <row r="53" spans="1:4" x14ac:dyDescent="0.35">
      <c r="A53" s="51" t="s">
        <v>34</v>
      </c>
      <c r="B53">
        <v>2018</v>
      </c>
      <c r="C53" t="s">
        <v>35</v>
      </c>
      <c r="D53" s="50">
        <v>136.29999999999998</v>
      </c>
    </row>
    <row r="54" spans="1:4" x14ac:dyDescent="0.35">
      <c r="A54" s="51" t="s">
        <v>34</v>
      </c>
      <c r="B54">
        <v>2018</v>
      </c>
      <c r="C54" t="s">
        <v>36</v>
      </c>
      <c r="D54" s="50">
        <v>136.4</v>
      </c>
    </row>
    <row r="55" spans="1:4" x14ac:dyDescent="0.35">
      <c r="A55" s="51" t="s">
        <v>34</v>
      </c>
      <c r="B55">
        <v>2018</v>
      </c>
      <c r="C55" t="s">
        <v>37</v>
      </c>
      <c r="D55" s="50">
        <v>137</v>
      </c>
    </row>
    <row r="56" spans="1:4" x14ac:dyDescent="0.35">
      <c r="A56" s="51" t="s">
        <v>34</v>
      </c>
      <c r="B56">
        <v>2018</v>
      </c>
      <c r="C56" t="s">
        <v>38</v>
      </c>
      <c r="D56" s="50">
        <v>137.66666666666669</v>
      </c>
    </row>
    <row r="57" spans="1:4" x14ac:dyDescent="0.35">
      <c r="A57" s="51" t="s">
        <v>34</v>
      </c>
      <c r="B57">
        <v>2018</v>
      </c>
      <c r="C57" t="s">
        <v>39</v>
      </c>
      <c r="D57" s="50">
        <v>138.4</v>
      </c>
    </row>
    <row r="58" spans="1:4" x14ac:dyDescent="0.35">
      <c r="A58" s="51" t="s">
        <v>34</v>
      </c>
      <c r="B58">
        <v>2018</v>
      </c>
      <c r="C58" t="s">
        <v>40</v>
      </c>
      <c r="D58" s="50">
        <v>139.70000000000002</v>
      </c>
    </row>
    <row r="59" spans="1:4" x14ac:dyDescent="0.35">
      <c r="A59" s="51" t="s">
        <v>34</v>
      </c>
      <c r="B59">
        <v>2018</v>
      </c>
      <c r="C59" t="s">
        <v>41</v>
      </c>
      <c r="D59" s="50">
        <v>140.29999999999998</v>
      </c>
    </row>
    <row r="60" spans="1:4" x14ac:dyDescent="0.35">
      <c r="A60" s="51" t="s">
        <v>34</v>
      </c>
      <c r="B60">
        <v>2018</v>
      </c>
      <c r="C60" t="s">
        <v>42</v>
      </c>
      <c r="D60" s="50">
        <v>140.13333333333333</v>
      </c>
    </row>
    <row r="61" spans="1:4" x14ac:dyDescent="0.35">
      <c r="A61" s="51" t="s">
        <v>34</v>
      </c>
      <c r="B61">
        <v>2018</v>
      </c>
      <c r="C61" t="s">
        <v>43</v>
      </c>
      <c r="D61" s="50">
        <v>140.63333333333335</v>
      </c>
    </row>
    <row r="62" spans="1:4" x14ac:dyDescent="0.35">
      <c r="A62" s="51" t="s">
        <v>34</v>
      </c>
      <c r="B62">
        <v>2018</v>
      </c>
      <c r="C62" t="s">
        <v>45</v>
      </c>
      <c r="D62" s="50">
        <v>140.73333333333332</v>
      </c>
    </row>
    <row r="63" spans="1:4" x14ac:dyDescent="0.35">
      <c r="A63" s="51" t="s">
        <v>34</v>
      </c>
      <c r="B63">
        <v>2018</v>
      </c>
      <c r="C63" t="s">
        <v>46</v>
      </c>
      <c r="D63" s="50">
        <v>140</v>
      </c>
    </row>
    <row r="64" spans="1:4" x14ac:dyDescent="0.35">
      <c r="A64" s="51" t="s">
        <v>34</v>
      </c>
      <c r="B64">
        <v>2019</v>
      </c>
      <c r="C64" t="s">
        <v>31</v>
      </c>
      <c r="D64" s="50">
        <v>139.53333333333333</v>
      </c>
    </row>
    <row r="65" spans="1:4" x14ac:dyDescent="0.35">
      <c r="A65" s="51" t="s">
        <v>34</v>
      </c>
      <c r="B65">
        <v>2019</v>
      </c>
      <c r="C65" t="s">
        <v>35</v>
      </c>
      <c r="D65" s="50">
        <v>139.83333333333334</v>
      </c>
    </row>
    <row r="66" spans="1:4" x14ac:dyDescent="0.35">
      <c r="A66" s="51" t="s">
        <v>34</v>
      </c>
      <c r="B66">
        <v>2019</v>
      </c>
      <c r="C66" t="s">
        <v>36</v>
      </c>
      <c r="D66" s="50">
        <v>140.36666666666667</v>
      </c>
    </row>
    <row r="67" spans="1:4" x14ac:dyDescent="0.35">
      <c r="A67" s="51" t="s">
        <v>34</v>
      </c>
      <c r="B67">
        <v>2019</v>
      </c>
      <c r="C67" t="s">
        <v>38</v>
      </c>
      <c r="D67" s="50">
        <v>141.96666666666667</v>
      </c>
    </row>
    <row r="68" spans="1:4" x14ac:dyDescent="0.35">
      <c r="A68" s="51" t="s">
        <v>34</v>
      </c>
      <c r="B68">
        <v>2019</v>
      </c>
      <c r="C68" t="s">
        <v>39</v>
      </c>
      <c r="D68" s="50">
        <v>142.86666666666667</v>
      </c>
    </row>
    <row r="69" spans="1:4" x14ac:dyDescent="0.35">
      <c r="A69" s="51" t="s">
        <v>34</v>
      </c>
      <c r="B69">
        <v>2019</v>
      </c>
      <c r="C69" t="s">
        <v>40</v>
      </c>
      <c r="D69" s="50">
        <v>144.13333333333335</v>
      </c>
    </row>
    <row r="70" spans="1:4" x14ac:dyDescent="0.35">
      <c r="A70" s="51" t="s">
        <v>34</v>
      </c>
      <c r="B70">
        <v>2019</v>
      </c>
      <c r="C70" t="s">
        <v>41</v>
      </c>
      <c r="D70" s="50">
        <v>144.96666666666667</v>
      </c>
    </row>
    <row r="71" spans="1:4" x14ac:dyDescent="0.35">
      <c r="A71" s="51" t="s">
        <v>34</v>
      </c>
      <c r="B71">
        <v>2019</v>
      </c>
      <c r="C71" t="s">
        <v>42</v>
      </c>
      <c r="D71" s="50">
        <v>145.73333333333332</v>
      </c>
    </row>
    <row r="72" spans="1:4" x14ac:dyDescent="0.35">
      <c r="A72" s="51" t="s">
        <v>34</v>
      </c>
      <c r="B72">
        <v>2019</v>
      </c>
      <c r="C72" t="s">
        <v>43</v>
      </c>
      <c r="D72" s="50">
        <v>147.16666666666666</v>
      </c>
    </row>
    <row r="73" spans="1:4" x14ac:dyDescent="0.35">
      <c r="A73" s="51" t="s">
        <v>34</v>
      </c>
      <c r="B73">
        <v>2019</v>
      </c>
      <c r="C73" t="s">
        <v>45</v>
      </c>
      <c r="D73" s="50">
        <v>148.5</v>
      </c>
    </row>
    <row r="74" spans="1:4" x14ac:dyDescent="0.35">
      <c r="A74" s="51" t="s">
        <v>34</v>
      </c>
      <c r="B74">
        <v>2019</v>
      </c>
      <c r="C74" t="s">
        <v>46</v>
      </c>
      <c r="D74" s="50">
        <v>150.33333333333334</v>
      </c>
    </row>
    <row r="75" spans="1:4" x14ac:dyDescent="0.35">
      <c r="A75" s="51" t="s">
        <v>34</v>
      </c>
      <c r="B75">
        <v>2020</v>
      </c>
      <c r="C75" t="s">
        <v>31</v>
      </c>
      <c r="D75" s="50">
        <v>150.1</v>
      </c>
    </row>
    <row r="76" spans="1:4" x14ac:dyDescent="0.35">
      <c r="A76" s="51" t="s">
        <v>34</v>
      </c>
      <c r="B76">
        <v>2020</v>
      </c>
      <c r="C76" t="s">
        <v>35</v>
      </c>
      <c r="D76" s="50">
        <v>149.06666666666669</v>
      </c>
    </row>
    <row r="77" spans="1:4" x14ac:dyDescent="0.35">
      <c r="A77" s="51" t="s">
        <v>34</v>
      </c>
      <c r="B77">
        <v>2020</v>
      </c>
      <c r="C77" t="s">
        <v>36</v>
      </c>
      <c r="D77" s="50">
        <v>148.56666666666669</v>
      </c>
    </row>
    <row r="78" spans="1:4" x14ac:dyDescent="0.35">
      <c r="A78" s="51" t="s">
        <v>34</v>
      </c>
      <c r="B78">
        <v>2020</v>
      </c>
      <c r="C78" t="s">
        <v>37</v>
      </c>
      <c r="D78" s="50" t="s">
        <v>32</v>
      </c>
    </row>
    <row r="79" spans="1:4" x14ac:dyDescent="0.35">
      <c r="A79" s="51" t="s">
        <v>34</v>
      </c>
      <c r="B79">
        <v>2020</v>
      </c>
      <c r="C79" t="s">
        <v>38</v>
      </c>
      <c r="D79" s="50" t="s">
        <v>32</v>
      </c>
    </row>
    <row r="80" spans="1:4" x14ac:dyDescent="0.35">
      <c r="A80" s="51" t="s">
        <v>34</v>
      </c>
      <c r="B80">
        <v>2020</v>
      </c>
      <c r="C80" t="s">
        <v>39</v>
      </c>
      <c r="D80" s="50">
        <v>151.76666666666668</v>
      </c>
    </row>
    <row r="81" spans="1:4" x14ac:dyDescent="0.35">
      <c r="A81" s="51" t="s">
        <v>34</v>
      </c>
      <c r="B81">
        <v>2020</v>
      </c>
      <c r="C81" t="s">
        <v>40</v>
      </c>
      <c r="D81" s="50">
        <v>151.76666666666668</v>
      </c>
    </row>
    <row r="82" spans="1:4" x14ac:dyDescent="0.35">
      <c r="A82" s="51" t="s">
        <v>34</v>
      </c>
      <c r="B82">
        <v>2020</v>
      </c>
      <c r="C82" t="s">
        <v>41</v>
      </c>
      <c r="D82" s="50">
        <v>153.83333333333334</v>
      </c>
    </row>
    <row r="83" spans="1:4" x14ac:dyDescent="0.35">
      <c r="A83" s="51" t="s">
        <v>34</v>
      </c>
      <c r="B83">
        <v>2020</v>
      </c>
      <c r="C83" t="s">
        <v>42</v>
      </c>
      <c r="D83" s="50">
        <v>154.69999999999999</v>
      </c>
    </row>
    <row r="84" spans="1:4" x14ac:dyDescent="0.35">
      <c r="A84" s="51" t="s">
        <v>34</v>
      </c>
      <c r="B84">
        <v>2020</v>
      </c>
      <c r="C84" t="s">
        <v>43</v>
      </c>
      <c r="D84" s="50">
        <v>156.36666666666667</v>
      </c>
    </row>
    <row r="85" spans="1:4" x14ac:dyDescent="0.35">
      <c r="A85" s="51" t="s">
        <v>34</v>
      </c>
      <c r="B85">
        <v>2020</v>
      </c>
      <c r="C85" t="s">
        <v>45</v>
      </c>
      <c r="D85" s="50">
        <v>158.29999999999998</v>
      </c>
    </row>
    <row r="86" spans="1:4" x14ac:dyDescent="0.35">
      <c r="A86" s="51" t="s">
        <v>34</v>
      </c>
      <c r="B86">
        <v>2020</v>
      </c>
      <c r="C86" t="s">
        <v>46</v>
      </c>
      <c r="D86" s="50">
        <v>158.83333333333334</v>
      </c>
    </row>
    <row r="87" spans="1:4" x14ac:dyDescent="0.35">
      <c r="A87" s="51" t="s">
        <v>34</v>
      </c>
      <c r="B87">
        <v>2021</v>
      </c>
      <c r="C87" t="s">
        <v>31</v>
      </c>
      <c r="D87" s="50">
        <v>157.26666666666668</v>
      </c>
    </row>
    <row r="88" spans="1:4" x14ac:dyDescent="0.35">
      <c r="A88" s="51" t="s">
        <v>34</v>
      </c>
      <c r="B88">
        <v>2021</v>
      </c>
      <c r="C88" t="s">
        <v>35</v>
      </c>
      <c r="D88" s="50">
        <v>156.6</v>
      </c>
    </row>
    <row r="89" spans="1:4" x14ac:dyDescent="0.35">
      <c r="A89" s="51" t="s">
        <v>34</v>
      </c>
      <c r="B89">
        <v>2021</v>
      </c>
      <c r="C89" t="s">
        <v>36</v>
      </c>
      <c r="D89" s="50">
        <v>156.80000000000001</v>
      </c>
    </row>
    <row r="90" spans="1:4" x14ac:dyDescent="0.35">
      <c r="A90" s="51" t="s">
        <v>34</v>
      </c>
      <c r="B90">
        <v>2021</v>
      </c>
      <c r="C90" t="s">
        <v>37</v>
      </c>
      <c r="D90" s="50">
        <v>157.80000000000001</v>
      </c>
    </row>
    <row r="91" spans="1:4" x14ac:dyDescent="0.35">
      <c r="A91" s="51" t="s">
        <v>34</v>
      </c>
      <c r="B91">
        <v>2021</v>
      </c>
      <c r="C91" t="s">
        <v>38</v>
      </c>
      <c r="D91" s="50">
        <v>160.33333333333334</v>
      </c>
    </row>
    <row r="92" spans="1:4" x14ac:dyDescent="0.35">
      <c r="A92" s="51" t="s">
        <v>34</v>
      </c>
      <c r="B92">
        <v>2021</v>
      </c>
      <c r="C92" t="s">
        <v>39</v>
      </c>
      <c r="D92" s="50">
        <v>161.26666666666668</v>
      </c>
    </row>
    <row r="93" spans="1:4" x14ac:dyDescent="0.35">
      <c r="A93" s="51" t="s">
        <v>34</v>
      </c>
      <c r="B93">
        <v>2021</v>
      </c>
      <c r="C93" t="s">
        <v>40</v>
      </c>
      <c r="D93" s="50">
        <v>162.5</v>
      </c>
    </row>
    <row r="94" spans="1:4" x14ac:dyDescent="0.35">
      <c r="A94" s="51" t="s">
        <v>34</v>
      </c>
      <c r="B94">
        <v>2021</v>
      </c>
      <c r="C94" t="s">
        <v>41</v>
      </c>
      <c r="D94" s="50">
        <v>163.03333333333333</v>
      </c>
    </row>
    <row r="95" spans="1:4" x14ac:dyDescent="0.35">
      <c r="A95" s="51" t="s">
        <v>34</v>
      </c>
      <c r="B95">
        <v>2021</v>
      </c>
      <c r="C95" t="s">
        <v>42</v>
      </c>
      <c r="D95" s="50">
        <v>163.16666666666666</v>
      </c>
    </row>
    <row r="96" spans="1:4" x14ac:dyDescent="0.35">
      <c r="A96" s="51" t="s">
        <v>34</v>
      </c>
      <c r="B96">
        <v>2021</v>
      </c>
      <c r="C96" t="s">
        <v>43</v>
      </c>
      <c r="D96" s="50">
        <v>165.46666666666667</v>
      </c>
    </row>
    <row r="97" spans="1:4" x14ac:dyDescent="0.35">
      <c r="A97" s="51" t="s">
        <v>34</v>
      </c>
      <c r="B97">
        <v>2021</v>
      </c>
      <c r="C97" t="s">
        <v>45</v>
      </c>
      <c r="D97" s="50">
        <v>166.63333333333333</v>
      </c>
    </row>
    <row r="98" spans="1:4" x14ac:dyDescent="0.35">
      <c r="A98" s="51" t="s">
        <v>34</v>
      </c>
      <c r="B98">
        <v>2021</v>
      </c>
      <c r="C98" t="s">
        <v>46</v>
      </c>
      <c r="D98" s="50">
        <v>166.13333333333333</v>
      </c>
    </row>
    <row r="99" spans="1:4" x14ac:dyDescent="0.35">
      <c r="A99" s="51" t="s">
        <v>34</v>
      </c>
      <c r="B99">
        <v>2022</v>
      </c>
      <c r="C99" t="s">
        <v>31</v>
      </c>
      <c r="D99" s="50">
        <v>165.7</v>
      </c>
    </row>
    <row r="100" spans="1:4" x14ac:dyDescent="0.35">
      <c r="A100" s="51" t="s">
        <v>34</v>
      </c>
      <c r="B100">
        <v>2022</v>
      </c>
      <c r="C100" t="s">
        <v>35</v>
      </c>
      <c r="D100" s="50">
        <v>166.1</v>
      </c>
    </row>
    <row r="101" spans="1:4" x14ac:dyDescent="0.35">
      <c r="A101" s="51" t="s">
        <v>34</v>
      </c>
      <c r="B101">
        <v>2022</v>
      </c>
      <c r="C101" t="s">
        <v>36</v>
      </c>
      <c r="D101" s="50">
        <v>167.63333333333333</v>
      </c>
    </row>
    <row r="102" spans="1:4" x14ac:dyDescent="0.35">
      <c r="A102" s="51" t="s">
        <v>34</v>
      </c>
      <c r="B102">
        <v>2022</v>
      </c>
      <c r="C102" t="s">
        <v>37</v>
      </c>
      <c r="D102" s="50">
        <v>170.03333333333333</v>
      </c>
    </row>
    <row r="103" spans="1:4" x14ac:dyDescent="0.35">
      <c r="A103" s="51" t="s">
        <v>34</v>
      </c>
      <c r="B103">
        <v>2022</v>
      </c>
      <c r="C103" t="s">
        <v>38</v>
      </c>
      <c r="D103" s="50">
        <v>171.66666666666666</v>
      </c>
    </row>
    <row r="104" spans="1:4" x14ac:dyDescent="0.35">
      <c r="A104" s="51" t="s">
        <v>34</v>
      </c>
      <c r="B104">
        <v>2022</v>
      </c>
      <c r="C104" t="s">
        <v>39</v>
      </c>
      <c r="D104" s="50">
        <v>172.53333333333333</v>
      </c>
    </row>
    <row r="105" spans="1:4" x14ac:dyDescent="0.35">
      <c r="A105" s="51" t="s">
        <v>34</v>
      </c>
      <c r="B105">
        <v>2022</v>
      </c>
      <c r="C105" t="s">
        <v>40</v>
      </c>
      <c r="D105" s="50">
        <v>173.33333333333334</v>
      </c>
    </row>
    <row r="106" spans="1:4" x14ac:dyDescent="0.35">
      <c r="A106" s="51" t="s">
        <v>34</v>
      </c>
      <c r="B106">
        <v>2022</v>
      </c>
      <c r="C106" t="s">
        <v>41</v>
      </c>
      <c r="D106" s="50">
        <v>174.23333333333335</v>
      </c>
    </row>
    <row r="107" spans="1:4" x14ac:dyDescent="0.35">
      <c r="A107" s="51" t="s">
        <v>34</v>
      </c>
      <c r="B107">
        <v>2022</v>
      </c>
      <c r="C107" t="s">
        <v>42</v>
      </c>
      <c r="D107" s="50">
        <v>175.26666666666665</v>
      </c>
    </row>
    <row r="108" spans="1:4" x14ac:dyDescent="0.35">
      <c r="A108" s="51" t="s">
        <v>34</v>
      </c>
      <c r="B108">
        <v>2022</v>
      </c>
      <c r="C108" t="s">
        <v>43</v>
      </c>
      <c r="D108" s="50">
        <v>176.63333333333335</v>
      </c>
    </row>
    <row r="109" spans="1:4" x14ac:dyDescent="0.35">
      <c r="A109" s="51" t="s">
        <v>34</v>
      </c>
      <c r="B109">
        <v>2022</v>
      </c>
      <c r="C109" t="s">
        <v>45</v>
      </c>
      <c r="D109" s="50">
        <v>176.13333333333333</v>
      </c>
    </row>
    <row r="110" spans="1:4" x14ac:dyDescent="0.35">
      <c r="A110" s="51" t="s">
        <v>34</v>
      </c>
      <c r="B110">
        <v>2022</v>
      </c>
      <c r="C110" t="s">
        <v>46</v>
      </c>
      <c r="D110" s="50">
        <v>175.63333333333333</v>
      </c>
    </row>
    <row r="111" spans="1:4" x14ac:dyDescent="0.35">
      <c r="A111" s="51" t="s">
        <v>34</v>
      </c>
      <c r="B111">
        <v>2023</v>
      </c>
      <c r="C111" t="s">
        <v>31</v>
      </c>
      <c r="D111" s="50">
        <v>176.4</v>
      </c>
    </row>
    <row r="112" spans="1:4" x14ac:dyDescent="0.35">
      <c r="A112" s="51" t="s">
        <v>34</v>
      </c>
      <c r="B112">
        <v>2023</v>
      </c>
      <c r="C112" t="s">
        <v>35</v>
      </c>
      <c r="D112" s="50">
        <v>177.16666666666666</v>
      </c>
    </row>
    <row r="113" spans="1:5" x14ac:dyDescent="0.35">
      <c r="A113" s="51" t="s">
        <v>34</v>
      </c>
      <c r="B113">
        <v>2023</v>
      </c>
      <c r="C113" t="s">
        <v>36</v>
      </c>
      <c r="D113" s="50">
        <v>177.16666666666666</v>
      </c>
    </row>
    <row r="114" spans="1:5" x14ac:dyDescent="0.35">
      <c r="A114" s="51" t="s">
        <v>34</v>
      </c>
      <c r="B114">
        <v>2023</v>
      </c>
      <c r="C114" t="s">
        <v>37</v>
      </c>
      <c r="D114" s="50">
        <v>178.10000000000002</v>
      </c>
    </row>
    <row r="115" spans="1:5" x14ac:dyDescent="0.35">
      <c r="A115" s="51" t="s">
        <v>34</v>
      </c>
      <c r="B115" s="51">
        <v>2023</v>
      </c>
      <c r="C115" s="51" t="s">
        <v>38</v>
      </c>
      <c r="D115" s="50">
        <v>179.03333333333333</v>
      </c>
    </row>
    <row r="116" spans="1:5" x14ac:dyDescent="0.35">
      <c r="D116" s="1"/>
    </row>
    <row r="117" spans="1:5" x14ac:dyDescent="0.35">
      <c r="D117" s="1"/>
    </row>
    <row r="118" spans="1:5" x14ac:dyDescent="0.35">
      <c r="D118" s="1"/>
    </row>
    <row r="119" spans="1:5" x14ac:dyDescent="0.35">
      <c r="D119" s="1"/>
    </row>
    <row r="120" spans="1:5" x14ac:dyDescent="0.35">
      <c r="A120" s="10" t="s">
        <v>0</v>
      </c>
      <c r="B120" s="10" t="s">
        <v>1</v>
      </c>
      <c r="C120" s="10" t="s">
        <v>56</v>
      </c>
      <c r="D120" s="11" t="s">
        <v>57</v>
      </c>
      <c r="E120" t="s">
        <v>69</v>
      </c>
    </row>
    <row r="121" spans="1:5" x14ac:dyDescent="0.35">
      <c r="A121" t="s">
        <v>34</v>
      </c>
      <c r="B121">
        <v>2017</v>
      </c>
      <c r="C121" s="1">
        <f>AVERAGE(D40:D51)</f>
        <v>133.38611111111109</v>
      </c>
      <c r="D121" s="23"/>
    </row>
    <row r="122" spans="1:5" x14ac:dyDescent="0.35">
      <c r="A122" t="s">
        <v>34</v>
      </c>
      <c r="B122">
        <v>2018</v>
      </c>
      <c r="C122" s="1">
        <f>AVERAGE(D52:D63)</f>
        <v>138.66944444444445</v>
      </c>
      <c r="D122" s="13">
        <f>((C122-C121)/C121)*100</f>
        <v>3.9609321310314876</v>
      </c>
    </row>
    <row r="123" spans="1:5" x14ac:dyDescent="0.35">
      <c r="A123" t="s">
        <v>34</v>
      </c>
      <c r="B123">
        <v>2019</v>
      </c>
      <c r="C123" s="1">
        <f>AVERAGE(D64:D74)</f>
        <v>144.12727272727273</v>
      </c>
      <c r="D123" s="13">
        <f t="shared" ref="D123:D127" si="1">((C123-C122)/C122)*100</f>
        <v>3.9358550145593605</v>
      </c>
    </row>
    <row r="124" spans="1:5" x14ac:dyDescent="0.35">
      <c r="A124" t="s">
        <v>34</v>
      </c>
      <c r="B124">
        <v>2020</v>
      </c>
      <c r="C124" s="1">
        <f>AVERAGE(D75:D86)</f>
        <v>153.32999999999998</v>
      </c>
      <c r="D124" s="13">
        <f t="shared" si="1"/>
        <v>6.3851393969975936</v>
      </c>
    </row>
    <row r="125" spans="1:5" x14ac:dyDescent="0.35">
      <c r="A125" t="s">
        <v>34</v>
      </c>
      <c r="B125">
        <v>2021</v>
      </c>
      <c r="C125" s="1">
        <f>AVERAGE(D87:D98)</f>
        <v>161.41666666666666</v>
      </c>
      <c r="D125" s="13">
        <f t="shared" si="1"/>
        <v>5.2740276962542714</v>
      </c>
    </row>
    <row r="126" spans="1:5" x14ac:dyDescent="0.35">
      <c r="A126" s="2" t="s">
        <v>34</v>
      </c>
      <c r="B126" s="2">
        <v>2022</v>
      </c>
      <c r="C126" s="25">
        <f>AVERAGE(D99:D110)</f>
        <v>172.07499999999996</v>
      </c>
      <c r="D126" s="26">
        <f t="shared" si="1"/>
        <v>6.6029943211151076</v>
      </c>
      <c r="E126" s="3" t="s">
        <v>55</v>
      </c>
    </row>
    <row r="127" spans="1:5" x14ac:dyDescent="0.35">
      <c r="A127" s="22" t="s">
        <v>34</v>
      </c>
      <c r="B127" s="22">
        <v>2023</v>
      </c>
      <c r="C127" s="16">
        <f>AVERAGE(D111:D115)</f>
        <v>177.57333333333332</v>
      </c>
      <c r="D127" s="17">
        <f t="shared" si="1"/>
        <v>3.1953121216523988</v>
      </c>
    </row>
    <row r="152" spans="1:16" x14ac:dyDescent="0.35">
      <c r="A152" s="32" t="s">
        <v>110</v>
      </c>
      <c r="B152" s="33"/>
      <c r="C152" s="33"/>
      <c r="D152" s="33"/>
      <c r="E152" s="33"/>
      <c r="F152" s="33"/>
      <c r="G152" s="33"/>
      <c r="H152" s="33"/>
      <c r="I152" s="33"/>
      <c r="J152" s="33"/>
      <c r="K152" s="33"/>
      <c r="L152" s="33"/>
      <c r="M152" s="33"/>
      <c r="N152" s="33"/>
      <c r="O152" s="33"/>
      <c r="P152" s="34"/>
    </row>
    <row r="153" spans="1:16" x14ac:dyDescent="0.35">
      <c r="A153" s="5" t="s">
        <v>0</v>
      </c>
      <c r="B153" s="5" t="s">
        <v>1</v>
      </c>
      <c r="C153" s="5" t="s">
        <v>2</v>
      </c>
      <c r="D153" s="5" t="s">
        <v>3</v>
      </c>
      <c r="E153" s="5" t="s">
        <v>4</v>
      </c>
      <c r="F153" s="5" t="s">
        <v>5</v>
      </c>
      <c r="G153" s="5" t="s">
        <v>6</v>
      </c>
      <c r="H153" s="5" t="s">
        <v>7</v>
      </c>
      <c r="I153" s="5" t="s">
        <v>8</v>
      </c>
      <c r="J153" s="5" t="s">
        <v>9</v>
      </c>
      <c r="K153" s="5" t="s">
        <v>10</v>
      </c>
      <c r="L153" s="5" t="s">
        <v>11</v>
      </c>
      <c r="M153" s="5" t="s">
        <v>12</v>
      </c>
      <c r="N153" s="5" t="s">
        <v>13</v>
      </c>
      <c r="O153" s="5" t="s">
        <v>14</v>
      </c>
      <c r="P153" s="5" t="s">
        <v>15</v>
      </c>
    </row>
    <row r="154" spans="1:16" x14ac:dyDescent="0.35">
      <c r="A154" s="51" t="s">
        <v>49</v>
      </c>
      <c r="B154">
        <v>2022</v>
      </c>
      <c r="C154" t="s">
        <v>38</v>
      </c>
      <c r="D154" s="1">
        <v>154.56666666666669</v>
      </c>
      <c r="E154" s="1">
        <v>217.63333333333333</v>
      </c>
      <c r="F154" s="1">
        <v>162.63333333333333</v>
      </c>
      <c r="G154" s="1">
        <v>164.96666666666667</v>
      </c>
      <c r="H154" s="1">
        <v>200.6</v>
      </c>
      <c r="I154" s="1">
        <v>171.16666666666666</v>
      </c>
      <c r="J154" s="1">
        <v>179.5</v>
      </c>
      <c r="K154" s="1">
        <v>164.6</v>
      </c>
      <c r="L154" s="1">
        <v>119.93333333333334</v>
      </c>
      <c r="M154" s="1">
        <v>184.29999999999998</v>
      </c>
      <c r="N154" s="1">
        <v>166.26666666666665</v>
      </c>
      <c r="O154" s="1">
        <v>182.6</v>
      </c>
      <c r="P154" s="50">
        <v>173.86666666666667</v>
      </c>
    </row>
    <row r="155" spans="1:16" x14ac:dyDescent="0.35">
      <c r="A155" s="51" t="s">
        <v>49</v>
      </c>
      <c r="B155">
        <v>2022</v>
      </c>
      <c r="C155" t="s">
        <v>39</v>
      </c>
      <c r="D155" s="1">
        <v>155.43333333333334</v>
      </c>
      <c r="E155" s="1">
        <v>220</v>
      </c>
      <c r="F155" s="1">
        <v>171.06666666666669</v>
      </c>
      <c r="G155" s="1">
        <v>165.86666666666667</v>
      </c>
      <c r="H155" s="1">
        <v>199.20000000000002</v>
      </c>
      <c r="I155" s="1">
        <v>169.86666666666665</v>
      </c>
      <c r="J155" s="1">
        <v>187.03333333333333</v>
      </c>
      <c r="K155" s="1">
        <v>164.16666666666666</v>
      </c>
      <c r="L155" s="1">
        <v>120.13333333333333</v>
      </c>
      <c r="M155" s="1">
        <v>186.5</v>
      </c>
      <c r="N155" s="1">
        <v>167.06666666666663</v>
      </c>
      <c r="O155" s="1">
        <v>184.03333333333333</v>
      </c>
      <c r="P155" s="50">
        <v>175.53333333333333</v>
      </c>
    </row>
    <row r="156" spans="1:16" x14ac:dyDescent="0.35">
      <c r="A156" s="51" t="s">
        <v>49</v>
      </c>
      <c r="B156">
        <v>2022</v>
      </c>
      <c r="C156" t="s">
        <v>40</v>
      </c>
      <c r="D156" s="1">
        <v>157</v>
      </c>
      <c r="E156" s="1">
        <v>213.63333333333333</v>
      </c>
      <c r="F156" s="1">
        <v>175.36666666666665</v>
      </c>
      <c r="G156" s="1">
        <v>166.66666666666666</v>
      </c>
      <c r="H156" s="1">
        <v>194.26666666666665</v>
      </c>
      <c r="I156" s="1">
        <v>174.43333333333331</v>
      </c>
      <c r="J156" s="1">
        <v>186.4</v>
      </c>
      <c r="K156" s="1">
        <v>164.23333333333332</v>
      </c>
      <c r="L156" s="1">
        <v>120.23333333333333</v>
      </c>
      <c r="M156" s="1">
        <v>189.36666666666667</v>
      </c>
      <c r="N156" s="1">
        <v>167.56666666666669</v>
      </c>
      <c r="O156" s="1">
        <v>185.33333333333334</v>
      </c>
      <c r="P156" s="50">
        <v>175.63333333333333</v>
      </c>
    </row>
    <row r="157" spans="1:16" x14ac:dyDescent="0.35">
      <c r="A157" s="51" t="s">
        <v>49</v>
      </c>
      <c r="B157">
        <v>2022</v>
      </c>
      <c r="C157" t="s">
        <v>41</v>
      </c>
      <c r="D157" s="1">
        <v>160.63333333333335</v>
      </c>
      <c r="E157" s="1">
        <v>207.16666666666666</v>
      </c>
      <c r="F157" s="1">
        <v>169.36666666666665</v>
      </c>
      <c r="G157" s="1">
        <v>168.13333333333333</v>
      </c>
      <c r="H157" s="1">
        <v>191</v>
      </c>
      <c r="I157" s="1">
        <v>173.06666666666663</v>
      </c>
      <c r="J157" s="1">
        <v>190.96666666666667</v>
      </c>
      <c r="K157" s="1">
        <v>167.2</v>
      </c>
      <c r="L157" s="1">
        <v>121.10000000000001</v>
      </c>
      <c r="M157" s="1">
        <v>192.96666666666667</v>
      </c>
      <c r="N157" s="1">
        <v>168.03333333333333</v>
      </c>
      <c r="O157" s="1">
        <v>186.4</v>
      </c>
      <c r="P157" s="50">
        <v>176.86666666666667</v>
      </c>
    </row>
    <row r="158" spans="1:16" x14ac:dyDescent="0.35">
      <c r="A158" s="51" t="s">
        <v>49</v>
      </c>
      <c r="B158">
        <v>2022</v>
      </c>
      <c r="C158" t="s">
        <v>42</v>
      </c>
      <c r="D158" s="1">
        <v>163.76666666666668</v>
      </c>
      <c r="E158" s="1">
        <v>209.86666666666665</v>
      </c>
      <c r="F158" s="1">
        <v>169.86666666666665</v>
      </c>
      <c r="G158" s="1">
        <v>169.76666666666668</v>
      </c>
      <c r="H158" s="1">
        <v>187.36666666666665</v>
      </c>
      <c r="I158" s="1">
        <v>165.76666666666668</v>
      </c>
      <c r="J158" s="1">
        <v>196.5</v>
      </c>
      <c r="K158" s="1">
        <v>169.1</v>
      </c>
      <c r="L158" s="1">
        <v>121.83333333333333</v>
      </c>
      <c r="M158" s="1">
        <v>196.66666666666666</v>
      </c>
      <c r="N158" s="1">
        <v>168.63333333333333</v>
      </c>
      <c r="O158" s="1">
        <v>187.53333333333333</v>
      </c>
      <c r="P158" s="50">
        <v>178.36666666666667</v>
      </c>
    </row>
    <row r="159" spans="1:16" x14ac:dyDescent="0.35">
      <c r="A159" s="51" t="s">
        <v>49</v>
      </c>
      <c r="B159">
        <v>2022</v>
      </c>
      <c r="C159" t="s">
        <v>43</v>
      </c>
      <c r="D159" s="1">
        <v>165.43333333333334</v>
      </c>
      <c r="E159" s="1">
        <v>211.53333333333333</v>
      </c>
      <c r="F159" s="1">
        <v>171.03333333333333</v>
      </c>
      <c r="G159" s="1">
        <v>170.93333333333331</v>
      </c>
      <c r="H159" s="1">
        <v>185.26666666666665</v>
      </c>
      <c r="I159" s="1">
        <v>163.9</v>
      </c>
      <c r="J159" s="1">
        <v>204.36666666666665</v>
      </c>
      <c r="K159" s="1">
        <v>169.8</v>
      </c>
      <c r="L159" s="1">
        <v>122.13333333333333</v>
      </c>
      <c r="M159" s="1">
        <v>199.29999999999998</v>
      </c>
      <c r="N159" s="1">
        <v>169.1</v>
      </c>
      <c r="O159" s="1">
        <v>188.4666666666667</v>
      </c>
      <c r="P159" s="50">
        <v>180.10000000000002</v>
      </c>
    </row>
    <row r="160" spans="1:16" x14ac:dyDescent="0.35">
      <c r="A160" s="51" t="s">
        <v>49</v>
      </c>
      <c r="B160">
        <v>2022</v>
      </c>
      <c r="C160" t="s">
        <v>45</v>
      </c>
      <c r="D160" s="1">
        <v>167.56666666666669</v>
      </c>
      <c r="E160" s="1">
        <v>210</v>
      </c>
      <c r="F160" s="1">
        <v>181.6</v>
      </c>
      <c r="G160" s="1">
        <v>172.30000000000004</v>
      </c>
      <c r="H160" s="1">
        <v>187.63333333333333</v>
      </c>
      <c r="I160" s="1">
        <v>160.79999999999998</v>
      </c>
      <c r="J160" s="1">
        <v>186.73333333333335</v>
      </c>
      <c r="K160" s="1">
        <v>170.56666666666666</v>
      </c>
      <c r="L160" s="1">
        <v>122.33333333333333</v>
      </c>
      <c r="M160" s="1">
        <v>202.13333333333335</v>
      </c>
      <c r="N160" s="1">
        <v>169.63333333333333</v>
      </c>
      <c r="O160" s="1">
        <v>189.6</v>
      </c>
      <c r="P160" s="50">
        <v>178.73333333333335</v>
      </c>
    </row>
    <row r="161" spans="1:16" x14ac:dyDescent="0.35">
      <c r="A161" s="51" t="s">
        <v>49</v>
      </c>
      <c r="B161">
        <v>2022</v>
      </c>
      <c r="C161" t="s">
        <v>46</v>
      </c>
      <c r="D161" s="1">
        <v>169.4</v>
      </c>
      <c r="E161" s="1">
        <v>209.6</v>
      </c>
      <c r="F161" s="1">
        <v>190.4</v>
      </c>
      <c r="G161" s="1">
        <v>173.63333333333333</v>
      </c>
      <c r="H161" s="1">
        <v>187.16666666666666</v>
      </c>
      <c r="I161" s="1">
        <v>158.06666666666666</v>
      </c>
      <c r="J161" s="1">
        <v>162.93333333333331</v>
      </c>
      <c r="K161" s="1">
        <v>170.86666666666667</v>
      </c>
      <c r="L161" s="1">
        <v>122.03333333333335</v>
      </c>
      <c r="M161" s="1">
        <v>204.4</v>
      </c>
      <c r="N161" s="1">
        <v>170.20000000000002</v>
      </c>
      <c r="O161" s="1">
        <v>190.43333333333331</v>
      </c>
      <c r="P161" s="50">
        <v>176.29999999999998</v>
      </c>
    </row>
    <row r="162" spans="1:16" x14ac:dyDescent="0.35">
      <c r="A162" s="51" t="s">
        <v>49</v>
      </c>
      <c r="B162">
        <v>2023</v>
      </c>
      <c r="C162" t="s">
        <v>31</v>
      </c>
      <c r="D162" s="1">
        <v>173.70000000000002</v>
      </c>
      <c r="E162" s="1">
        <v>211.4</v>
      </c>
      <c r="F162" s="1">
        <v>194.79999999999998</v>
      </c>
      <c r="G162" s="1">
        <v>174.70000000000002</v>
      </c>
      <c r="H162" s="1">
        <v>185.93333333333331</v>
      </c>
      <c r="I162" s="1">
        <v>158.36666666666667</v>
      </c>
      <c r="J162" s="1">
        <v>157.36666666666667</v>
      </c>
      <c r="K162" s="1">
        <v>170.93333333333331</v>
      </c>
      <c r="L162" s="1">
        <v>121.36666666666667</v>
      </c>
      <c r="M162" s="1">
        <v>207.73333333333335</v>
      </c>
      <c r="N162" s="1">
        <v>170.66666666666666</v>
      </c>
      <c r="O162" s="1">
        <v>191.33333333333334</v>
      </c>
      <c r="P162" s="50">
        <v>177.06666666666669</v>
      </c>
    </row>
    <row r="163" spans="1:16" x14ac:dyDescent="0.35">
      <c r="A163" s="51" t="s">
        <v>49</v>
      </c>
      <c r="B163">
        <v>2023</v>
      </c>
      <c r="C163" t="s">
        <v>35</v>
      </c>
      <c r="D163" s="1">
        <v>174.43333333333331</v>
      </c>
      <c r="E163" s="1">
        <v>208.36666666666665</v>
      </c>
      <c r="F163" s="1">
        <v>175.43333333333331</v>
      </c>
      <c r="G163" s="1">
        <v>177.4</v>
      </c>
      <c r="H163" s="1">
        <v>178.30000000000004</v>
      </c>
      <c r="I163" s="1">
        <v>169.6</v>
      </c>
      <c r="J163" s="1">
        <v>156.46666666666667</v>
      </c>
      <c r="K163" s="1">
        <v>171.20000000000002</v>
      </c>
      <c r="L163" s="1">
        <v>120.33333333333333</v>
      </c>
      <c r="M163" s="1">
        <v>208.86666666666665</v>
      </c>
      <c r="N163" s="1">
        <v>171.6</v>
      </c>
      <c r="O163" s="1">
        <v>193.16666666666666</v>
      </c>
      <c r="P163" s="50">
        <v>177.5</v>
      </c>
    </row>
    <row r="164" spans="1:16" x14ac:dyDescent="0.35">
      <c r="A164" s="51" t="s">
        <v>49</v>
      </c>
      <c r="B164">
        <v>2023</v>
      </c>
      <c r="C164" t="s">
        <v>36</v>
      </c>
      <c r="D164" s="1">
        <v>174.46666666666667</v>
      </c>
      <c r="E164" s="1">
        <v>208.36666666666665</v>
      </c>
      <c r="F164" s="1">
        <v>175.43333333333331</v>
      </c>
      <c r="G164" s="1">
        <v>177.4</v>
      </c>
      <c r="H164" s="1">
        <v>178.23333333333335</v>
      </c>
      <c r="I164" s="1">
        <v>169.6</v>
      </c>
      <c r="J164" s="1">
        <v>156.53333333333333</v>
      </c>
      <c r="K164" s="1">
        <v>171.26666666666665</v>
      </c>
      <c r="L164" s="1">
        <v>120.33333333333333</v>
      </c>
      <c r="M164" s="1">
        <v>208.86666666666665</v>
      </c>
      <c r="N164" s="1">
        <v>171.6</v>
      </c>
      <c r="O164" s="1">
        <v>193.16666666666666</v>
      </c>
      <c r="P164" s="50">
        <v>177.53333333333333</v>
      </c>
    </row>
    <row r="165" spans="1:16" x14ac:dyDescent="0.35">
      <c r="A165" s="51" t="s">
        <v>49</v>
      </c>
      <c r="B165">
        <v>2023</v>
      </c>
      <c r="C165" t="s">
        <v>37</v>
      </c>
      <c r="D165" s="1">
        <v>173.9666666666667</v>
      </c>
      <c r="E165" s="1">
        <v>209.9666666666667</v>
      </c>
      <c r="F165" s="1">
        <v>169.96666666666667</v>
      </c>
      <c r="G165" s="1">
        <v>178.46666666666667</v>
      </c>
      <c r="H165" s="1">
        <v>174.03333333333333</v>
      </c>
      <c r="I165" s="1">
        <v>176.4</v>
      </c>
      <c r="J165" s="1">
        <v>159.36666666666667</v>
      </c>
      <c r="K165" s="1">
        <v>173.63333333333333</v>
      </c>
      <c r="L165" s="1">
        <v>121.60000000000001</v>
      </c>
      <c r="M165" s="1">
        <v>212.06666666666669</v>
      </c>
      <c r="N165" s="1">
        <v>172.20000000000002</v>
      </c>
      <c r="O165" s="1">
        <v>193.66666666666666</v>
      </c>
      <c r="P165" s="50">
        <v>178.5</v>
      </c>
    </row>
    <row r="166" spans="1:16" x14ac:dyDescent="0.35">
      <c r="A166" s="51" t="s">
        <v>49</v>
      </c>
      <c r="B166" s="51">
        <v>2023</v>
      </c>
      <c r="C166" s="51" t="s">
        <v>38</v>
      </c>
      <c r="D166" s="50">
        <v>173.86666666666665</v>
      </c>
      <c r="E166" s="50">
        <v>215.06666666666669</v>
      </c>
      <c r="F166" s="50">
        <v>173.63333333333333</v>
      </c>
      <c r="G166" s="50">
        <v>179.5</v>
      </c>
      <c r="H166" s="50">
        <v>169.23333333333335</v>
      </c>
      <c r="I166" s="50">
        <v>172.33333333333334</v>
      </c>
      <c r="J166" s="50">
        <v>164.9</v>
      </c>
      <c r="K166" s="50">
        <v>175.79999999999998</v>
      </c>
      <c r="L166" s="50">
        <v>122.93333333333334</v>
      </c>
      <c r="M166" s="50">
        <v>216.96666666666667</v>
      </c>
      <c r="N166" s="50">
        <v>172.66666666666666</v>
      </c>
      <c r="O166" s="50">
        <v>194.33333333333334</v>
      </c>
      <c r="P166" s="50">
        <v>179.66666666666666</v>
      </c>
    </row>
    <row r="170" spans="1:16" x14ac:dyDescent="0.35">
      <c r="A170" s="8" t="s">
        <v>111</v>
      </c>
    </row>
    <row r="171" spans="1:16" x14ac:dyDescent="0.35">
      <c r="A171" s="5" t="s">
        <v>0</v>
      </c>
      <c r="B171" s="5" t="s">
        <v>1</v>
      </c>
      <c r="C171" s="5" t="s">
        <v>2</v>
      </c>
      <c r="D171" s="5" t="s">
        <v>62</v>
      </c>
      <c r="E171" s="5" t="s">
        <v>59</v>
      </c>
    </row>
    <row r="172" spans="1:16" hidden="1" x14ac:dyDescent="0.35">
      <c r="A172" t="s">
        <v>49</v>
      </c>
      <c r="B172">
        <v>2022</v>
      </c>
      <c r="C172" t="s">
        <v>38</v>
      </c>
      <c r="D172" s="1">
        <f>AVERAGE(D154:P154)</f>
        <v>172.51025641025643</v>
      </c>
    </row>
    <row r="173" spans="1:16" hidden="1" x14ac:dyDescent="0.35">
      <c r="A173" s="2" t="s">
        <v>49</v>
      </c>
      <c r="B173" s="2">
        <v>2022</v>
      </c>
      <c r="C173" s="2" t="s">
        <v>39</v>
      </c>
      <c r="D173" s="25">
        <f t="shared" ref="D173:D184" si="2">AVERAGE(D155:P155)</f>
        <v>174.3</v>
      </c>
      <c r="E173" s="25">
        <f>((D173-D172)/D172)*100</f>
        <v>1.0374708304225628</v>
      </c>
      <c r="F173" s="3" t="s">
        <v>55</v>
      </c>
    </row>
    <row r="174" spans="1:16" hidden="1" x14ac:dyDescent="0.35">
      <c r="A174" t="s">
        <v>49</v>
      </c>
      <c r="B174">
        <v>2022</v>
      </c>
      <c r="C174" t="s">
        <v>40</v>
      </c>
      <c r="D174" s="1">
        <f t="shared" si="2"/>
        <v>174.62564102564102</v>
      </c>
      <c r="E174" s="1">
        <f t="shared" ref="E174:E184" si="3">((D174-D173)/D173)*100</f>
        <v>0.18682789767125929</v>
      </c>
    </row>
    <row r="175" spans="1:16" hidden="1" x14ac:dyDescent="0.35">
      <c r="A175" t="s">
        <v>49</v>
      </c>
      <c r="B175">
        <v>2022</v>
      </c>
      <c r="C175" t="s">
        <v>41</v>
      </c>
      <c r="D175" s="1">
        <f t="shared" si="2"/>
        <v>174.83846153846156</v>
      </c>
      <c r="E175" s="1">
        <f t="shared" si="3"/>
        <v>0.12187243040058071</v>
      </c>
    </row>
    <row r="176" spans="1:16" hidden="1" x14ac:dyDescent="0.35">
      <c r="A176" t="s">
        <v>49</v>
      </c>
      <c r="B176">
        <v>2022</v>
      </c>
      <c r="C176" t="s">
        <v>42</v>
      </c>
      <c r="D176" s="1">
        <f t="shared" si="2"/>
        <v>175.77179487179487</v>
      </c>
      <c r="E176" s="1">
        <f t="shared" si="3"/>
        <v>0.53382609588336538</v>
      </c>
    </row>
    <row r="177" spans="1:6" hidden="1" x14ac:dyDescent="0.35">
      <c r="A177" t="s">
        <v>49</v>
      </c>
      <c r="B177">
        <v>2022</v>
      </c>
      <c r="C177" t="s">
        <v>43</v>
      </c>
      <c r="D177" s="1">
        <f t="shared" si="2"/>
        <v>177.02820512820512</v>
      </c>
      <c r="E177" s="1">
        <f t="shared" si="3"/>
        <v>0.71479628305932352</v>
      </c>
    </row>
    <row r="178" spans="1:6" hidden="1" x14ac:dyDescent="0.35">
      <c r="A178" t="s">
        <v>49</v>
      </c>
      <c r="B178">
        <v>2022</v>
      </c>
      <c r="C178" t="s">
        <v>45</v>
      </c>
      <c r="D178" s="1">
        <f t="shared" si="2"/>
        <v>176.89487179487179</v>
      </c>
      <c r="E178" s="1">
        <f t="shared" si="3"/>
        <v>-7.5317564925185113E-2</v>
      </c>
    </row>
    <row r="179" spans="1:6" hidden="1" x14ac:dyDescent="0.35">
      <c r="A179" t="s">
        <v>49</v>
      </c>
      <c r="B179">
        <v>2022</v>
      </c>
      <c r="C179" t="s">
        <v>46</v>
      </c>
      <c r="D179" s="1">
        <f t="shared" si="2"/>
        <v>175.80256410256411</v>
      </c>
      <c r="E179" s="1">
        <f t="shared" si="3"/>
        <v>-0.61748974474191121</v>
      </c>
    </row>
    <row r="180" spans="1:6" x14ac:dyDescent="0.35">
      <c r="A180" t="s">
        <v>49</v>
      </c>
      <c r="B180">
        <v>2023</v>
      </c>
      <c r="C180" t="s">
        <v>31</v>
      </c>
      <c r="D180" s="1">
        <f t="shared" si="2"/>
        <v>176.56666666666672</v>
      </c>
      <c r="E180" s="1">
        <f t="shared" si="3"/>
        <v>0.43463675743479679</v>
      </c>
    </row>
    <row r="181" spans="1:6" x14ac:dyDescent="0.35">
      <c r="A181" t="s">
        <v>49</v>
      </c>
      <c r="B181">
        <v>2023</v>
      </c>
      <c r="C181" t="s">
        <v>35</v>
      </c>
      <c r="D181" s="1">
        <f t="shared" si="2"/>
        <v>175.58974358974359</v>
      </c>
      <c r="E181" s="1">
        <f t="shared" si="3"/>
        <v>-0.55328850873501689</v>
      </c>
    </row>
    <row r="182" spans="1:6" x14ac:dyDescent="0.35">
      <c r="A182" s="27" t="s">
        <v>49</v>
      </c>
      <c r="B182" s="27">
        <v>2023</v>
      </c>
      <c r="C182" s="27" t="s">
        <v>36</v>
      </c>
      <c r="D182" s="28">
        <f t="shared" si="2"/>
        <v>175.59999999999997</v>
      </c>
      <c r="E182" s="28">
        <f t="shared" si="3"/>
        <v>5.8411214953068488E-3</v>
      </c>
      <c r="F182" s="4" t="s">
        <v>58</v>
      </c>
    </row>
    <row r="183" spans="1:6" x14ac:dyDescent="0.35">
      <c r="A183" t="s">
        <v>49</v>
      </c>
      <c r="B183">
        <v>2023</v>
      </c>
      <c r="C183" t="s">
        <v>37</v>
      </c>
      <c r="D183" s="1">
        <f t="shared" si="2"/>
        <v>176.44871794871796</v>
      </c>
      <c r="E183" s="1">
        <f t="shared" si="3"/>
        <v>0.48332457216286467</v>
      </c>
    </row>
    <row r="184" spans="1:6" x14ac:dyDescent="0.35">
      <c r="A184" t="s">
        <v>49</v>
      </c>
      <c r="B184">
        <v>2023</v>
      </c>
      <c r="C184" t="s">
        <v>38</v>
      </c>
      <c r="D184" s="1">
        <f t="shared" si="2"/>
        <v>177.76153846153846</v>
      </c>
      <c r="E184" s="1">
        <f t="shared" si="3"/>
        <v>0.74402383201336653</v>
      </c>
    </row>
    <row r="192" spans="1:6" x14ac:dyDescent="0.35">
      <c r="A192" s="36" t="s">
        <v>112</v>
      </c>
      <c r="B192" s="38"/>
    </row>
    <row r="193" spans="1:3" x14ac:dyDescent="0.35">
      <c r="A193" s="18" t="s">
        <v>61</v>
      </c>
      <c r="B193" s="19" t="s">
        <v>60</v>
      </c>
    </row>
    <row r="194" spans="1:3" x14ac:dyDescent="0.35">
      <c r="A194" s="12" t="str" cm="1">
        <f t="array" ref="A194:A206">TRANSPOSE(D153:P153)</f>
        <v>Cereals and products</v>
      </c>
      <c r="B194" s="13">
        <f>D166-D154</f>
        <v>19.299999999999955</v>
      </c>
    </row>
    <row r="195" spans="1:3" x14ac:dyDescent="0.35">
      <c r="A195" s="12" t="str">
        <v>Meat and fish</v>
      </c>
      <c r="B195" s="13">
        <f>E166-E154</f>
        <v>-2.5666666666666345</v>
      </c>
    </row>
    <row r="196" spans="1:3" x14ac:dyDescent="0.35">
      <c r="A196" s="12" t="str">
        <v>Egg</v>
      </c>
      <c r="B196" s="13">
        <f>F166-F154</f>
        <v>11</v>
      </c>
    </row>
    <row r="197" spans="1:3" x14ac:dyDescent="0.35">
      <c r="A197" s="12" t="str">
        <v>Milk and products</v>
      </c>
      <c r="B197" s="13">
        <f>G166-G154</f>
        <v>14.533333333333331</v>
      </c>
    </row>
    <row r="198" spans="1:3" x14ac:dyDescent="0.35">
      <c r="A198" s="12" t="str">
        <v>Oils and fats</v>
      </c>
      <c r="B198" s="13">
        <f>H166-H154</f>
        <v>-31.366666666666646</v>
      </c>
    </row>
    <row r="199" spans="1:3" x14ac:dyDescent="0.35">
      <c r="A199" s="12" t="str">
        <v>Fruits</v>
      </c>
      <c r="B199" s="13">
        <f>I166-I154</f>
        <v>1.1666666666666856</v>
      </c>
    </row>
    <row r="200" spans="1:3" x14ac:dyDescent="0.35">
      <c r="A200" s="12" t="str">
        <v>Vegetables</v>
      </c>
      <c r="B200" s="13">
        <f>J166-J154</f>
        <v>-14.599999999999994</v>
      </c>
    </row>
    <row r="201" spans="1:3" x14ac:dyDescent="0.35">
      <c r="A201" s="12" t="str">
        <v>Pulses and products</v>
      </c>
      <c r="B201" s="13">
        <f>K166-K154</f>
        <v>11.199999999999989</v>
      </c>
    </row>
    <row r="202" spans="1:3" x14ac:dyDescent="0.35">
      <c r="A202" s="12" t="str">
        <v>Sugar and Confectionery</v>
      </c>
      <c r="B202" s="13">
        <f>L166-L154</f>
        <v>3</v>
      </c>
    </row>
    <row r="203" spans="1:3" x14ac:dyDescent="0.35">
      <c r="A203" s="24" t="str">
        <v>Spices</v>
      </c>
      <c r="B203" s="26">
        <f>M166-M154</f>
        <v>32.666666666666686</v>
      </c>
      <c r="C203" s="3" t="s">
        <v>55</v>
      </c>
    </row>
    <row r="204" spans="1:3" x14ac:dyDescent="0.35">
      <c r="A204" s="12" t="str">
        <v>Non-alcoholic beverages</v>
      </c>
      <c r="B204" s="13">
        <f>N166-N154</f>
        <v>6.4000000000000057</v>
      </c>
    </row>
    <row r="205" spans="1:3" x14ac:dyDescent="0.35">
      <c r="A205" s="12" t="str">
        <v>Prepared meals, snacks, sweets etc.</v>
      </c>
      <c r="B205" s="13">
        <f>O166-O154</f>
        <v>11.733333333333348</v>
      </c>
    </row>
    <row r="206" spans="1:3" x14ac:dyDescent="0.35">
      <c r="A206" s="15" t="str">
        <v>Food and beverages</v>
      </c>
      <c r="B206" s="17">
        <f>P166-P154</f>
        <v>5.7999999999999829</v>
      </c>
    </row>
    <row r="218" spans="1:4" x14ac:dyDescent="0.35">
      <c r="A218" s="36" t="s">
        <v>106</v>
      </c>
      <c r="B218" s="37"/>
      <c r="C218" s="37"/>
      <c r="D218" s="38"/>
    </row>
    <row r="219" spans="1:4" x14ac:dyDescent="0.35">
      <c r="A219" s="5" t="s">
        <v>0</v>
      </c>
      <c r="B219" s="5" t="s">
        <v>1</v>
      </c>
      <c r="C219" s="5" t="s">
        <v>2</v>
      </c>
      <c r="D219" s="5" t="s">
        <v>56</v>
      </c>
    </row>
    <row r="220" spans="1:4" x14ac:dyDescent="0.35">
      <c r="A220" s="51" t="s">
        <v>49</v>
      </c>
      <c r="B220">
        <v>2016</v>
      </c>
      <c r="C220" t="s">
        <v>31</v>
      </c>
      <c r="D220" s="50">
        <v>126.2</v>
      </c>
    </row>
    <row r="221" spans="1:4" x14ac:dyDescent="0.35">
      <c r="A221" s="51" t="s">
        <v>49</v>
      </c>
      <c r="B221">
        <v>2016</v>
      </c>
      <c r="C221" t="s">
        <v>35</v>
      </c>
      <c r="D221" s="50">
        <v>125.89999999999999</v>
      </c>
    </row>
    <row r="222" spans="1:4" x14ac:dyDescent="0.35">
      <c r="A222" s="51" t="s">
        <v>49</v>
      </c>
      <c r="B222">
        <v>2016</v>
      </c>
      <c r="C222" t="s">
        <v>36</v>
      </c>
      <c r="D222" s="50">
        <v>125.93333333333334</v>
      </c>
    </row>
    <row r="223" spans="1:4" x14ac:dyDescent="0.35">
      <c r="A223" s="51" t="s">
        <v>49</v>
      </c>
      <c r="B223">
        <v>2016</v>
      </c>
      <c r="C223" t="s">
        <v>37</v>
      </c>
      <c r="D223" s="50">
        <v>127.2</v>
      </c>
    </row>
    <row r="224" spans="1:4" x14ac:dyDescent="0.35">
      <c r="A224" s="51" t="s">
        <v>49</v>
      </c>
      <c r="B224">
        <v>2016</v>
      </c>
      <c r="C224" t="s">
        <v>38</v>
      </c>
      <c r="D224" s="50">
        <v>128.5</v>
      </c>
    </row>
    <row r="225" spans="1:4" x14ac:dyDescent="0.35">
      <c r="A225" s="51" t="s">
        <v>49</v>
      </c>
      <c r="B225">
        <v>2016</v>
      </c>
      <c r="C225" t="s">
        <v>39</v>
      </c>
      <c r="D225" s="50">
        <v>130.03333333333333</v>
      </c>
    </row>
    <row r="226" spans="1:4" x14ac:dyDescent="0.35">
      <c r="A226" s="51" t="s">
        <v>49</v>
      </c>
      <c r="B226">
        <v>2016</v>
      </c>
      <c r="C226" t="s">
        <v>40</v>
      </c>
      <c r="D226" s="50">
        <v>131.03333333333333</v>
      </c>
    </row>
    <row r="227" spans="1:4" x14ac:dyDescent="0.35">
      <c r="A227" s="51" t="s">
        <v>49</v>
      </c>
      <c r="B227">
        <v>2016</v>
      </c>
      <c r="C227" t="s">
        <v>41</v>
      </c>
      <c r="D227" s="50">
        <v>131</v>
      </c>
    </row>
    <row r="228" spans="1:4" x14ac:dyDescent="0.35">
      <c r="A228" s="51" t="s">
        <v>49</v>
      </c>
      <c r="B228">
        <v>2016</v>
      </c>
      <c r="C228" t="s">
        <v>42</v>
      </c>
      <c r="D228" s="50">
        <v>130.76666666666665</v>
      </c>
    </row>
    <row r="229" spans="1:4" x14ac:dyDescent="0.35">
      <c r="A229" s="51" t="s">
        <v>49</v>
      </c>
      <c r="B229">
        <v>2016</v>
      </c>
      <c r="C229" t="s">
        <v>43</v>
      </c>
      <c r="D229" s="50">
        <v>131.26666666666665</v>
      </c>
    </row>
    <row r="230" spans="1:4" x14ac:dyDescent="0.35">
      <c r="A230" s="51" t="s">
        <v>49</v>
      </c>
      <c r="B230">
        <v>2016</v>
      </c>
      <c r="C230" t="s">
        <v>45</v>
      </c>
      <c r="D230" s="50">
        <v>131.1</v>
      </c>
    </row>
    <row r="231" spans="1:4" x14ac:dyDescent="0.35">
      <c r="A231" s="51" t="s">
        <v>49</v>
      </c>
      <c r="B231">
        <v>2016</v>
      </c>
      <c r="C231" t="s">
        <v>46</v>
      </c>
      <c r="D231" s="50">
        <v>130.26666666666665</v>
      </c>
    </row>
    <row r="232" spans="1:4" x14ac:dyDescent="0.35">
      <c r="A232" s="51" t="s">
        <v>49</v>
      </c>
      <c r="B232">
        <v>2017</v>
      </c>
      <c r="C232" t="s">
        <v>31</v>
      </c>
      <c r="D232" s="50">
        <v>130.16666666666666</v>
      </c>
    </row>
    <row r="233" spans="1:4" x14ac:dyDescent="0.35">
      <c r="A233" s="51" t="s">
        <v>49</v>
      </c>
      <c r="B233">
        <v>2017</v>
      </c>
      <c r="C233" t="s">
        <v>35</v>
      </c>
      <c r="D233" s="50">
        <v>130.46666666666667</v>
      </c>
    </row>
    <row r="234" spans="1:4" x14ac:dyDescent="0.35">
      <c r="A234" s="51" t="s">
        <v>49</v>
      </c>
      <c r="B234">
        <v>2017</v>
      </c>
      <c r="C234" t="s">
        <v>36</v>
      </c>
      <c r="D234" s="50">
        <v>130.79999999999998</v>
      </c>
    </row>
    <row r="235" spans="1:4" x14ac:dyDescent="0.35">
      <c r="A235" s="51" t="s">
        <v>49</v>
      </c>
      <c r="B235">
        <v>2017</v>
      </c>
      <c r="C235" t="s">
        <v>37</v>
      </c>
      <c r="D235" s="50">
        <v>131.03333333333333</v>
      </c>
    </row>
    <row r="236" spans="1:4" x14ac:dyDescent="0.35">
      <c r="A236" s="51" t="s">
        <v>49</v>
      </c>
      <c r="B236">
        <v>2017</v>
      </c>
      <c r="C236" t="s">
        <v>38</v>
      </c>
      <c r="D236" s="50">
        <v>131.33333333333334</v>
      </c>
    </row>
    <row r="237" spans="1:4" x14ac:dyDescent="0.35">
      <c r="A237" s="51" t="s">
        <v>49</v>
      </c>
      <c r="B237">
        <v>2017</v>
      </c>
      <c r="C237" t="s">
        <v>39</v>
      </c>
      <c r="D237" s="50">
        <v>131.93333333333334</v>
      </c>
    </row>
    <row r="238" spans="1:4" x14ac:dyDescent="0.35">
      <c r="A238" s="51" t="s">
        <v>49</v>
      </c>
      <c r="B238">
        <v>2017</v>
      </c>
      <c r="C238" t="s">
        <v>40</v>
      </c>
      <c r="D238" s="50">
        <v>134.06666666666666</v>
      </c>
    </row>
    <row r="239" spans="1:4" x14ac:dyDescent="0.35">
      <c r="A239" s="51" t="s">
        <v>49</v>
      </c>
      <c r="B239">
        <v>2017</v>
      </c>
      <c r="C239" t="s">
        <v>41</v>
      </c>
      <c r="D239" s="50">
        <v>135.29999999999998</v>
      </c>
    </row>
    <row r="240" spans="1:4" x14ac:dyDescent="0.35">
      <c r="A240" s="51" t="s">
        <v>49</v>
      </c>
      <c r="B240">
        <v>2017</v>
      </c>
      <c r="C240" t="s">
        <v>42</v>
      </c>
      <c r="D240" s="50">
        <v>135.06666666666666</v>
      </c>
    </row>
    <row r="241" spans="1:4" x14ac:dyDescent="0.35">
      <c r="A241" s="51" t="s">
        <v>49</v>
      </c>
      <c r="B241">
        <v>2017</v>
      </c>
      <c r="C241" t="s">
        <v>43</v>
      </c>
      <c r="D241" s="50">
        <v>135.96666666666667</v>
      </c>
    </row>
    <row r="242" spans="1:4" x14ac:dyDescent="0.35">
      <c r="A242" s="51" t="s">
        <v>49</v>
      </c>
      <c r="B242">
        <v>2017</v>
      </c>
      <c r="C242" t="s">
        <v>45</v>
      </c>
      <c r="D242" s="50">
        <v>137.46666666666667</v>
      </c>
    </row>
    <row r="243" spans="1:4" x14ac:dyDescent="0.35">
      <c r="A243" s="51" t="s">
        <v>49</v>
      </c>
      <c r="B243">
        <v>2017</v>
      </c>
      <c r="C243" t="s">
        <v>46</v>
      </c>
      <c r="D243" s="50">
        <v>137.03333333333333</v>
      </c>
    </row>
    <row r="244" spans="1:4" x14ac:dyDescent="0.35">
      <c r="A244" s="51" t="s">
        <v>49</v>
      </c>
      <c r="B244">
        <v>2018</v>
      </c>
      <c r="C244" t="s">
        <v>31</v>
      </c>
      <c r="D244" s="50">
        <v>136.76666666666665</v>
      </c>
    </row>
    <row r="245" spans="1:4" x14ac:dyDescent="0.35">
      <c r="A245" s="51" t="s">
        <v>49</v>
      </c>
      <c r="B245">
        <v>2018</v>
      </c>
      <c r="C245" t="s">
        <v>35</v>
      </c>
      <c r="D245" s="50">
        <v>136.29999999999998</v>
      </c>
    </row>
    <row r="246" spans="1:4" x14ac:dyDescent="0.35">
      <c r="A246" s="51" t="s">
        <v>49</v>
      </c>
      <c r="B246">
        <v>2018</v>
      </c>
      <c r="C246" t="s">
        <v>36</v>
      </c>
      <c r="D246" s="50">
        <v>136.4</v>
      </c>
    </row>
    <row r="247" spans="1:4" x14ac:dyDescent="0.35">
      <c r="A247" s="51" t="s">
        <v>49</v>
      </c>
      <c r="B247">
        <v>2018</v>
      </c>
      <c r="C247" t="s">
        <v>37</v>
      </c>
      <c r="D247" s="50">
        <v>137</v>
      </c>
    </row>
    <row r="248" spans="1:4" x14ac:dyDescent="0.35">
      <c r="A248" s="51" t="s">
        <v>49</v>
      </c>
      <c r="B248">
        <v>2018</v>
      </c>
      <c r="C248" t="s">
        <v>38</v>
      </c>
      <c r="D248" s="50">
        <v>137.66666666666669</v>
      </c>
    </row>
    <row r="249" spans="1:4" x14ac:dyDescent="0.35">
      <c r="A249" s="51" t="s">
        <v>49</v>
      </c>
      <c r="B249">
        <v>2018</v>
      </c>
      <c r="C249" t="s">
        <v>39</v>
      </c>
      <c r="D249" s="50">
        <v>138.4</v>
      </c>
    </row>
    <row r="250" spans="1:4" x14ac:dyDescent="0.35">
      <c r="A250" s="51" t="s">
        <v>49</v>
      </c>
      <c r="B250">
        <v>2018</v>
      </c>
      <c r="C250" t="s">
        <v>40</v>
      </c>
      <c r="D250" s="50">
        <v>139.70000000000002</v>
      </c>
    </row>
    <row r="251" spans="1:4" x14ac:dyDescent="0.35">
      <c r="A251" s="51" t="s">
        <v>49</v>
      </c>
      <c r="B251">
        <v>2018</v>
      </c>
      <c r="C251" t="s">
        <v>41</v>
      </c>
      <c r="D251" s="50">
        <v>140.29999999999998</v>
      </c>
    </row>
    <row r="252" spans="1:4" x14ac:dyDescent="0.35">
      <c r="A252" s="51" t="s">
        <v>49</v>
      </c>
      <c r="B252">
        <v>2018</v>
      </c>
      <c r="C252" t="s">
        <v>42</v>
      </c>
      <c r="D252" s="50">
        <v>140.13333333333333</v>
      </c>
    </row>
    <row r="253" spans="1:4" x14ac:dyDescent="0.35">
      <c r="A253" s="51" t="s">
        <v>49</v>
      </c>
      <c r="B253">
        <v>2018</v>
      </c>
      <c r="C253" t="s">
        <v>43</v>
      </c>
      <c r="D253" s="50">
        <v>140.63333333333335</v>
      </c>
    </row>
    <row r="254" spans="1:4" x14ac:dyDescent="0.35">
      <c r="A254" s="51" t="s">
        <v>49</v>
      </c>
      <c r="B254">
        <v>2018</v>
      </c>
      <c r="C254" t="s">
        <v>45</v>
      </c>
      <c r="D254" s="50">
        <v>140.73333333333332</v>
      </c>
    </row>
    <row r="255" spans="1:4" x14ac:dyDescent="0.35">
      <c r="A255" s="51" t="s">
        <v>49</v>
      </c>
      <c r="B255">
        <v>2018</v>
      </c>
      <c r="C255" t="s">
        <v>46</v>
      </c>
      <c r="D255" s="50">
        <v>140</v>
      </c>
    </row>
    <row r="256" spans="1:4" x14ac:dyDescent="0.35">
      <c r="A256" s="51" t="s">
        <v>49</v>
      </c>
      <c r="B256">
        <v>2019</v>
      </c>
      <c r="C256" t="s">
        <v>31</v>
      </c>
      <c r="D256" s="50">
        <v>139.53333333333333</v>
      </c>
    </row>
    <row r="257" spans="1:4" x14ac:dyDescent="0.35">
      <c r="A257" s="51" t="s">
        <v>49</v>
      </c>
      <c r="B257">
        <v>2019</v>
      </c>
      <c r="C257" t="s">
        <v>35</v>
      </c>
      <c r="D257" s="50">
        <v>139.83333333333334</v>
      </c>
    </row>
    <row r="258" spans="1:4" x14ac:dyDescent="0.35">
      <c r="A258" s="51" t="s">
        <v>49</v>
      </c>
      <c r="B258">
        <v>2019</v>
      </c>
      <c r="C258" t="s">
        <v>36</v>
      </c>
      <c r="D258" s="50">
        <v>140.36666666666667</v>
      </c>
    </row>
    <row r="259" spans="1:4" x14ac:dyDescent="0.35">
      <c r="A259" s="51" t="s">
        <v>49</v>
      </c>
      <c r="B259">
        <v>2019</v>
      </c>
      <c r="C259" t="s">
        <v>38</v>
      </c>
      <c r="D259" s="50">
        <v>141.96666666666667</v>
      </c>
    </row>
    <row r="260" spans="1:4" x14ac:dyDescent="0.35">
      <c r="A260" s="51" t="s">
        <v>49</v>
      </c>
      <c r="B260">
        <v>2019</v>
      </c>
      <c r="C260" t="s">
        <v>39</v>
      </c>
      <c r="D260" s="50">
        <v>142.86666666666667</v>
      </c>
    </row>
    <row r="261" spans="1:4" x14ac:dyDescent="0.35">
      <c r="A261" s="51" t="s">
        <v>49</v>
      </c>
      <c r="B261">
        <v>2019</v>
      </c>
      <c r="C261" t="s">
        <v>40</v>
      </c>
      <c r="D261" s="50">
        <v>144.13333333333335</v>
      </c>
    </row>
    <row r="262" spans="1:4" x14ac:dyDescent="0.35">
      <c r="A262" s="51" t="s">
        <v>49</v>
      </c>
      <c r="B262">
        <v>2019</v>
      </c>
      <c r="C262" t="s">
        <v>41</v>
      </c>
      <c r="D262" s="50">
        <v>144.96666666666667</v>
      </c>
    </row>
    <row r="263" spans="1:4" x14ac:dyDescent="0.35">
      <c r="A263" s="51" t="s">
        <v>49</v>
      </c>
      <c r="B263">
        <v>2019</v>
      </c>
      <c r="C263" t="s">
        <v>42</v>
      </c>
      <c r="D263" s="50">
        <v>145.73333333333332</v>
      </c>
    </row>
    <row r="264" spans="1:4" x14ac:dyDescent="0.35">
      <c r="A264" s="51" t="s">
        <v>49</v>
      </c>
      <c r="B264">
        <v>2019</v>
      </c>
      <c r="C264" t="s">
        <v>43</v>
      </c>
      <c r="D264" s="50">
        <v>147.16666666666666</v>
      </c>
    </row>
    <row r="265" spans="1:4" x14ac:dyDescent="0.35">
      <c r="A265" s="51" t="s">
        <v>49</v>
      </c>
      <c r="B265">
        <v>2019</v>
      </c>
      <c r="C265" t="s">
        <v>45</v>
      </c>
      <c r="D265" s="50">
        <v>148.5</v>
      </c>
    </row>
    <row r="266" spans="1:4" x14ac:dyDescent="0.35">
      <c r="A266" s="51" t="s">
        <v>49</v>
      </c>
      <c r="B266">
        <v>2019</v>
      </c>
      <c r="C266" t="s">
        <v>46</v>
      </c>
      <c r="D266" s="50">
        <v>150.33333333333334</v>
      </c>
    </row>
    <row r="267" spans="1:4" x14ac:dyDescent="0.35">
      <c r="A267" s="51" t="s">
        <v>49</v>
      </c>
      <c r="B267">
        <v>2020</v>
      </c>
      <c r="C267" t="s">
        <v>31</v>
      </c>
      <c r="D267" s="50">
        <v>150.1</v>
      </c>
    </row>
    <row r="268" spans="1:4" x14ac:dyDescent="0.35">
      <c r="A268" s="51" t="s">
        <v>49</v>
      </c>
      <c r="B268">
        <v>2020</v>
      </c>
      <c r="C268" t="s">
        <v>35</v>
      </c>
      <c r="D268" s="50">
        <v>149.06666666666669</v>
      </c>
    </row>
    <row r="269" spans="1:4" x14ac:dyDescent="0.35">
      <c r="A269" s="51" t="s">
        <v>49</v>
      </c>
      <c r="B269">
        <v>2020</v>
      </c>
      <c r="C269" t="s">
        <v>36</v>
      </c>
      <c r="D269" s="50">
        <v>148.56666666666669</v>
      </c>
    </row>
    <row r="270" spans="1:4" x14ac:dyDescent="0.35">
      <c r="A270" s="51" t="s">
        <v>49</v>
      </c>
      <c r="B270">
        <v>2020</v>
      </c>
      <c r="C270" t="s">
        <v>37</v>
      </c>
      <c r="D270" s="50" t="s">
        <v>32</v>
      </c>
    </row>
    <row r="271" spans="1:4" x14ac:dyDescent="0.35">
      <c r="A271" s="51" t="s">
        <v>49</v>
      </c>
      <c r="B271">
        <v>2020</v>
      </c>
      <c r="C271" t="s">
        <v>38</v>
      </c>
      <c r="D271" s="50" t="s">
        <v>32</v>
      </c>
    </row>
    <row r="272" spans="1:4" x14ac:dyDescent="0.35">
      <c r="A272" s="51" t="s">
        <v>49</v>
      </c>
      <c r="B272">
        <v>2020</v>
      </c>
      <c r="C272" t="s">
        <v>39</v>
      </c>
      <c r="D272" s="50">
        <v>151.76666666666668</v>
      </c>
    </row>
    <row r="273" spans="1:4" x14ac:dyDescent="0.35">
      <c r="A273" s="51" t="s">
        <v>49</v>
      </c>
      <c r="B273">
        <v>2020</v>
      </c>
      <c r="C273" t="s">
        <v>40</v>
      </c>
      <c r="D273" s="50">
        <v>151.76666666666668</v>
      </c>
    </row>
    <row r="274" spans="1:4" x14ac:dyDescent="0.35">
      <c r="A274" s="51" t="s">
        <v>49</v>
      </c>
      <c r="B274">
        <v>2020</v>
      </c>
      <c r="C274" t="s">
        <v>41</v>
      </c>
      <c r="D274" s="50">
        <v>153.83333333333334</v>
      </c>
    </row>
    <row r="275" spans="1:4" x14ac:dyDescent="0.35">
      <c r="A275" s="51" t="s">
        <v>49</v>
      </c>
      <c r="B275">
        <v>2020</v>
      </c>
      <c r="C275" t="s">
        <v>42</v>
      </c>
      <c r="D275" s="50">
        <v>154.69999999999999</v>
      </c>
    </row>
    <row r="276" spans="1:4" x14ac:dyDescent="0.35">
      <c r="A276" s="51" t="s">
        <v>49</v>
      </c>
      <c r="B276">
        <v>2020</v>
      </c>
      <c r="C276" t="s">
        <v>43</v>
      </c>
      <c r="D276" s="50">
        <v>156.36666666666667</v>
      </c>
    </row>
    <row r="277" spans="1:4" x14ac:dyDescent="0.35">
      <c r="A277" s="51" t="s">
        <v>49</v>
      </c>
      <c r="B277">
        <v>2020</v>
      </c>
      <c r="C277" t="s">
        <v>45</v>
      </c>
      <c r="D277" s="50">
        <v>158.29999999999998</v>
      </c>
    </row>
    <row r="278" spans="1:4" x14ac:dyDescent="0.35">
      <c r="A278" s="51" t="s">
        <v>49</v>
      </c>
      <c r="B278">
        <v>2020</v>
      </c>
      <c r="C278" t="s">
        <v>46</v>
      </c>
      <c r="D278" s="50">
        <v>158.83333333333334</v>
      </c>
    </row>
    <row r="279" spans="1:4" x14ac:dyDescent="0.35">
      <c r="A279" s="51" t="s">
        <v>49</v>
      </c>
      <c r="B279">
        <v>2021</v>
      </c>
      <c r="C279" t="s">
        <v>31</v>
      </c>
      <c r="D279" s="50">
        <v>157.26666666666668</v>
      </c>
    </row>
    <row r="280" spans="1:4" x14ac:dyDescent="0.35">
      <c r="A280" s="51" t="s">
        <v>49</v>
      </c>
      <c r="B280">
        <v>2021</v>
      </c>
      <c r="C280" t="s">
        <v>35</v>
      </c>
      <c r="D280" s="50">
        <v>156.6</v>
      </c>
    </row>
    <row r="281" spans="1:4" x14ac:dyDescent="0.35">
      <c r="A281" s="51" t="s">
        <v>49</v>
      </c>
      <c r="B281">
        <v>2021</v>
      </c>
      <c r="C281" t="s">
        <v>36</v>
      </c>
      <c r="D281" s="50">
        <v>156.80000000000001</v>
      </c>
    </row>
    <row r="282" spans="1:4" x14ac:dyDescent="0.35">
      <c r="A282" s="51" t="s">
        <v>49</v>
      </c>
      <c r="B282">
        <v>2021</v>
      </c>
      <c r="C282" t="s">
        <v>37</v>
      </c>
      <c r="D282" s="50">
        <v>157.80000000000001</v>
      </c>
    </row>
    <row r="283" spans="1:4" x14ac:dyDescent="0.35">
      <c r="A283" s="51" t="s">
        <v>49</v>
      </c>
      <c r="B283">
        <v>2021</v>
      </c>
      <c r="C283" t="s">
        <v>38</v>
      </c>
      <c r="D283" s="50">
        <v>160.33333333333334</v>
      </c>
    </row>
    <row r="284" spans="1:4" x14ac:dyDescent="0.35">
      <c r="A284" s="51" t="s">
        <v>49</v>
      </c>
      <c r="B284">
        <v>2021</v>
      </c>
      <c r="C284" t="s">
        <v>39</v>
      </c>
      <c r="D284" s="50">
        <v>161.26666666666668</v>
      </c>
    </row>
    <row r="285" spans="1:4" x14ac:dyDescent="0.35">
      <c r="A285" s="51" t="s">
        <v>49</v>
      </c>
      <c r="B285">
        <v>2021</v>
      </c>
      <c r="C285" t="s">
        <v>40</v>
      </c>
      <c r="D285" s="50">
        <v>162.5</v>
      </c>
    </row>
    <row r="286" spans="1:4" x14ac:dyDescent="0.35">
      <c r="A286" s="51" t="s">
        <v>49</v>
      </c>
      <c r="B286">
        <v>2021</v>
      </c>
      <c r="C286" t="s">
        <v>41</v>
      </c>
      <c r="D286" s="50">
        <v>163.03333333333333</v>
      </c>
    </row>
    <row r="287" spans="1:4" x14ac:dyDescent="0.35">
      <c r="A287" s="51" t="s">
        <v>49</v>
      </c>
      <c r="B287">
        <v>2021</v>
      </c>
      <c r="C287" t="s">
        <v>42</v>
      </c>
      <c r="D287" s="50">
        <v>163.16666666666666</v>
      </c>
    </row>
    <row r="288" spans="1:4" x14ac:dyDescent="0.35">
      <c r="A288" s="51" t="s">
        <v>49</v>
      </c>
      <c r="B288">
        <v>2021</v>
      </c>
      <c r="C288" t="s">
        <v>43</v>
      </c>
      <c r="D288" s="50">
        <v>165.46666666666667</v>
      </c>
    </row>
    <row r="289" spans="1:4" x14ac:dyDescent="0.35">
      <c r="A289" s="51" t="s">
        <v>49</v>
      </c>
      <c r="B289">
        <v>2021</v>
      </c>
      <c r="C289" t="s">
        <v>45</v>
      </c>
      <c r="D289" s="50">
        <v>166.63333333333333</v>
      </c>
    </row>
    <row r="290" spans="1:4" x14ac:dyDescent="0.35">
      <c r="A290" s="51" t="s">
        <v>49</v>
      </c>
      <c r="B290">
        <v>2021</v>
      </c>
      <c r="C290" t="s">
        <v>46</v>
      </c>
      <c r="D290" s="50">
        <v>166.13333333333333</v>
      </c>
    </row>
    <row r="291" spans="1:4" x14ac:dyDescent="0.35">
      <c r="A291" s="51" t="s">
        <v>49</v>
      </c>
      <c r="B291">
        <v>2022</v>
      </c>
      <c r="C291" t="s">
        <v>31</v>
      </c>
      <c r="D291" s="50">
        <v>165.7</v>
      </c>
    </row>
    <row r="292" spans="1:4" x14ac:dyDescent="0.35">
      <c r="A292" s="51" t="s">
        <v>49</v>
      </c>
      <c r="B292">
        <v>2022</v>
      </c>
      <c r="C292" t="s">
        <v>35</v>
      </c>
      <c r="D292" s="50">
        <v>166.1</v>
      </c>
    </row>
    <row r="293" spans="1:4" x14ac:dyDescent="0.35">
      <c r="A293" s="51" t="s">
        <v>49</v>
      </c>
      <c r="B293">
        <v>2022</v>
      </c>
      <c r="C293" t="s">
        <v>36</v>
      </c>
      <c r="D293" s="50">
        <v>167.63333333333333</v>
      </c>
    </row>
    <row r="294" spans="1:4" x14ac:dyDescent="0.35">
      <c r="A294" s="51" t="s">
        <v>49</v>
      </c>
      <c r="B294">
        <v>2022</v>
      </c>
      <c r="C294" t="s">
        <v>37</v>
      </c>
      <c r="D294" s="50">
        <v>170.03333333333333</v>
      </c>
    </row>
    <row r="295" spans="1:4" x14ac:dyDescent="0.35">
      <c r="A295" s="51" t="s">
        <v>49</v>
      </c>
      <c r="B295">
        <v>2022</v>
      </c>
      <c r="C295" t="s">
        <v>38</v>
      </c>
      <c r="D295" s="50">
        <v>171.66666666666666</v>
      </c>
    </row>
    <row r="296" spans="1:4" x14ac:dyDescent="0.35">
      <c r="A296" s="51" t="s">
        <v>49</v>
      </c>
      <c r="B296">
        <v>2022</v>
      </c>
      <c r="C296" t="s">
        <v>39</v>
      </c>
      <c r="D296" s="50">
        <v>172.53333333333333</v>
      </c>
    </row>
    <row r="297" spans="1:4" x14ac:dyDescent="0.35">
      <c r="A297" s="51" t="s">
        <v>49</v>
      </c>
      <c r="B297">
        <v>2022</v>
      </c>
      <c r="C297" t="s">
        <v>40</v>
      </c>
      <c r="D297" s="50">
        <v>173.33333333333334</v>
      </c>
    </row>
    <row r="298" spans="1:4" x14ac:dyDescent="0.35">
      <c r="A298" s="51" t="s">
        <v>49</v>
      </c>
      <c r="B298">
        <v>2022</v>
      </c>
      <c r="C298" t="s">
        <v>41</v>
      </c>
      <c r="D298" s="50">
        <v>174.23333333333335</v>
      </c>
    </row>
    <row r="299" spans="1:4" x14ac:dyDescent="0.35">
      <c r="A299" s="51" t="s">
        <v>49</v>
      </c>
      <c r="B299">
        <v>2022</v>
      </c>
      <c r="C299" t="s">
        <v>42</v>
      </c>
      <c r="D299" s="50">
        <v>175.26666666666665</v>
      </c>
    </row>
    <row r="300" spans="1:4" x14ac:dyDescent="0.35">
      <c r="A300" s="51" t="s">
        <v>49</v>
      </c>
      <c r="B300">
        <v>2022</v>
      </c>
      <c r="C300" t="s">
        <v>43</v>
      </c>
      <c r="D300" s="50">
        <v>176.63333333333335</v>
      </c>
    </row>
    <row r="301" spans="1:4" x14ac:dyDescent="0.35">
      <c r="A301" s="51" t="s">
        <v>49</v>
      </c>
      <c r="B301">
        <v>2022</v>
      </c>
      <c r="C301" t="s">
        <v>45</v>
      </c>
      <c r="D301" s="50">
        <v>176.13333333333333</v>
      </c>
    </row>
    <row r="302" spans="1:4" x14ac:dyDescent="0.35">
      <c r="A302" s="51" t="s">
        <v>49</v>
      </c>
      <c r="B302">
        <v>2022</v>
      </c>
      <c r="C302" t="s">
        <v>46</v>
      </c>
      <c r="D302" s="50">
        <v>175.63333333333333</v>
      </c>
    </row>
    <row r="303" spans="1:4" x14ac:dyDescent="0.35">
      <c r="A303" s="51" t="s">
        <v>49</v>
      </c>
      <c r="B303">
        <v>2023</v>
      </c>
      <c r="C303" t="s">
        <v>31</v>
      </c>
      <c r="D303" s="50">
        <v>176.4</v>
      </c>
    </row>
    <row r="304" spans="1:4" x14ac:dyDescent="0.35">
      <c r="A304" s="51" t="s">
        <v>49</v>
      </c>
      <c r="B304">
        <v>2023</v>
      </c>
      <c r="C304" t="s">
        <v>35</v>
      </c>
      <c r="D304" s="50">
        <v>177.16666666666666</v>
      </c>
    </row>
    <row r="305" spans="1:5" x14ac:dyDescent="0.35">
      <c r="A305" s="51" t="s">
        <v>49</v>
      </c>
      <c r="B305">
        <v>2023</v>
      </c>
      <c r="C305" t="s">
        <v>36</v>
      </c>
      <c r="D305" s="50">
        <v>177.16666666666666</v>
      </c>
    </row>
    <row r="306" spans="1:5" x14ac:dyDescent="0.35">
      <c r="A306" s="51" t="s">
        <v>49</v>
      </c>
      <c r="B306">
        <v>2023</v>
      </c>
      <c r="C306" t="s">
        <v>37</v>
      </c>
      <c r="D306" s="50">
        <v>178.10000000000002</v>
      </c>
    </row>
    <row r="307" spans="1:5" x14ac:dyDescent="0.35">
      <c r="A307" s="51" t="s">
        <v>49</v>
      </c>
      <c r="B307" s="51">
        <v>2023</v>
      </c>
      <c r="C307" s="51" t="s">
        <v>38</v>
      </c>
      <c r="D307" s="50">
        <v>179.03333333333333</v>
      </c>
    </row>
    <row r="310" spans="1:5" x14ac:dyDescent="0.35">
      <c r="A310" s="5" t="s">
        <v>99</v>
      </c>
    </row>
    <row r="311" spans="1:5" x14ac:dyDescent="0.35">
      <c r="A311" t="s">
        <v>0</v>
      </c>
      <c r="B311" t="s">
        <v>1</v>
      </c>
      <c r="C311" t="s">
        <v>56</v>
      </c>
      <c r="D311" t="s">
        <v>57</v>
      </c>
    </row>
    <row r="312" spans="1:5" x14ac:dyDescent="0.35">
      <c r="A312" t="s">
        <v>49</v>
      </c>
      <c r="B312">
        <v>2016</v>
      </c>
      <c r="C312" s="1">
        <f>AVERAGE(D220:D231)</f>
        <v>129.1</v>
      </c>
    </row>
    <row r="313" spans="1:5" x14ac:dyDescent="0.35">
      <c r="A313" t="s">
        <v>49</v>
      </c>
      <c r="B313">
        <v>2017</v>
      </c>
      <c r="C313" s="1">
        <f>AVERAGE(D232:D243)</f>
        <v>133.38611111111109</v>
      </c>
      <c r="D313" s="1">
        <f>((C313-C312)/C312)*100</f>
        <v>3.3199931147258694</v>
      </c>
    </row>
    <row r="314" spans="1:5" x14ac:dyDescent="0.35">
      <c r="A314" t="s">
        <v>49</v>
      </c>
      <c r="B314">
        <v>2018</v>
      </c>
      <c r="C314" s="1">
        <f>AVERAGE(D244:D255)</f>
        <v>138.66944444444445</v>
      </c>
      <c r="D314" s="1">
        <f t="shared" ref="D314:D319" si="4">((C314-C313)/C313)*100</f>
        <v>3.9609321310314876</v>
      </c>
    </row>
    <row r="315" spans="1:5" x14ac:dyDescent="0.35">
      <c r="A315" t="s">
        <v>49</v>
      </c>
      <c r="B315">
        <v>2019</v>
      </c>
      <c r="C315" s="1">
        <f>AVERAGE(D256:D266)</f>
        <v>144.12727272727273</v>
      </c>
      <c r="D315" s="1">
        <f t="shared" si="4"/>
        <v>3.9358550145593605</v>
      </c>
    </row>
    <row r="316" spans="1:5" x14ac:dyDescent="0.35">
      <c r="A316" t="s">
        <v>49</v>
      </c>
      <c r="B316">
        <v>2020</v>
      </c>
      <c r="C316" s="1">
        <f>AVERAGE(D267:D278)</f>
        <v>153.32999999999998</v>
      </c>
      <c r="D316" s="1">
        <f t="shared" si="4"/>
        <v>6.3851393969975936</v>
      </c>
      <c r="E316" s="6" t="s">
        <v>98</v>
      </c>
    </row>
    <row r="317" spans="1:5" x14ac:dyDescent="0.35">
      <c r="A317" t="s">
        <v>49</v>
      </c>
      <c r="B317">
        <v>2021</v>
      </c>
      <c r="C317" s="1">
        <f>AVERAGE(D279:D290)</f>
        <v>161.41666666666666</v>
      </c>
      <c r="D317" s="1">
        <f t="shared" si="4"/>
        <v>5.2740276962542714</v>
      </c>
    </row>
    <row r="318" spans="1:5" x14ac:dyDescent="0.35">
      <c r="A318" t="s">
        <v>49</v>
      </c>
      <c r="B318">
        <v>2022</v>
      </c>
      <c r="C318" s="1">
        <f>AVERAGE(D291:D302)</f>
        <v>172.07499999999996</v>
      </c>
      <c r="D318" s="1">
        <f t="shared" si="4"/>
        <v>6.6029943211151076</v>
      </c>
    </row>
    <row r="319" spans="1:5" x14ac:dyDescent="0.35">
      <c r="A319" t="s">
        <v>49</v>
      </c>
      <c r="B319">
        <v>2023</v>
      </c>
      <c r="C319" s="1">
        <f>AVERAGE(D303:D307)</f>
        <v>177.57333333333332</v>
      </c>
      <c r="D319" s="1">
        <f t="shared" si="4"/>
        <v>3.1953121216523988</v>
      </c>
    </row>
    <row r="330" spans="1:8" x14ac:dyDescent="0.35">
      <c r="A330" s="36" t="s">
        <v>96</v>
      </c>
      <c r="B330" s="37"/>
      <c r="C330" s="37"/>
      <c r="D330" s="37"/>
      <c r="E330" s="37"/>
      <c r="F330" s="37"/>
      <c r="G330" s="37"/>
      <c r="H330" s="38"/>
    </row>
    <row r="331" spans="1:8" x14ac:dyDescent="0.35">
      <c r="A331" s="5" t="s">
        <v>0</v>
      </c>
      <c r="B331" s="5" t="s">
        <v>1</v>
      </c>
      <c r="C331" s="5" t="s">
        <v>68</v>
      </c>
      <c r="D331" s="5" t="s">
        <v>62</v>
      </c>
      <c r="E331" s="5" t="s">
        <v>20</v>
      </c>
      <c r="F331" s="5" t="s">
        <v>21</v>
      </c>
      <c r="G331" s="5" t="s">
        <v>23</v>
      </c>
      <c r="H331" s="5" t="s">
        <v>27</v>
      </c>
    </row>
    <row r="332" spans="1:8" x14ac:dyDescent="0.35">
      <c r="A332" s="51" t="s">
        <v>49</v>
      </c>
      <c r="B332">
        <v>2016</v>
      </c>
      <c r="C332" t="s">
        <v>36</v>
      </c>
      <c r="D332" s="1">
        <v>128.85897435897436</v>
      </c>
      <c r="E332" s="1">
        <v>124.9</v>
      </c>
      <c r="F332" s="1">
        <v>122.4</v>
      </c>
      <c r="G332" s="1">
        <v>122.9</v>
      </c>
      <c r="H332" s="50">
        <v>117.3</v>
      </c>
    </row>
    <row r="333" spans="1:8" x14ac:dyDescent="0.35">
      <c r="A333" s="51" t="s">
        <v>49</v>
      </c>
      <c r="B333">
        <v>2016</v>
      </c>
      <c r="C333" t="s">
        <v>37</v>
      </c>
      <c r="D333" s="1">
        <v>131.00512820512819</v>
      </c>
      <c r="E333" s="1">
        <v>125.6</v>
      </c>
      <c r="F333" s="1">
        <v>122.3</v>
      </c>
      <c r="G333" s="1">
        <v>123.2</v>
      </c>
      <c r="H333" s="50">
        <v>118.1</v>
      </c>
    </row>
    <row r="334" spans="1:8" x14ac:dyDescent="0.35">
      <c r="A334" s="51" t="s">
        <v>49</v>
      </c>
      <c r="B334">
        <v>2016</v>
      </c>
      <c r="C334" t="s">
        <v>38</v>
      </c>
      <c r="D334" s="1">
        <v>133.35641025641024</v>
      </c>
      <c r="E334" s="1">
        <v>126</v>
      </c>
      <c r="F334" s="1">
        <v>122.7</v>
      </c>
      <c r="G334" s="1">
        <v>123.7</v>
      </c>
      <c r="H334" s="50">
        <v>119.2</v>
      </c>
    </row>
    <row r="335" spans="1:8" x14ac:dyDescent="0.35">
      <c r="A335" s="51" t="s">
        <v>49</v>
      </c>
      <c r="B335">
        <v>2016</v>
      </c>
      <c r="C335" t="s">
        <v>39</v>
      </c>
      <c r="D335" s="1">
        <v>135.80000000000001</v>
      </c>
      <c r="E335" s="1">
        <v>125.5</v>
      </c>
      <c r="F335" s="1">
        <v>123.3</v>
      </c>
      <c r="G335" s="1">
        <v>124.1</v>
      </c>
      <c r="H335" s="50">
        <v>119.4</v>
      </c>
    </row>
    <row r="336" spans="1:8" x14ac:dyDescent="0.35">
      <c r="A336" s="51" t="s">
        <v>49</v>
      </c>
      <c r="B336">
        <v>2016</v>
      </c>
      <c r="C336" t="s">
        <v>40</v>
      </c>
      <c r="D336" s="1">
        <v>137.57179487179488</v>
      </c>
      <c r="E336" s="1">
        <v>126.4</v>
      </c>
      <c r="F336" s="1">
        <v>123.4</v>
      </c>
      <c r="G336" s="1">
        <v>124.5</v>
      </c>
      <c r="H336" s="50">
        <v>120.5</v>
      </c>
    </row>
    <row r="337" spans="1:8" x14ac:dyDescent="0.35">
      <c r="A337" s="51" t="s">
        <v>49</v>
      </c>
      <c r="B337">
        <v>2016</v>
      </c>
      <c r="C337" t="s">
        <v>41</v>
      </c>
      <c r="D337" s="1">
        <v>136.90769230769232</v>
      </c>
      <c r="E337" s="1">
        <v>127.3</v>
      </c>
      <c r="F337" s="1">
        <v>123.6</v>
      </c>
      <c r="G337" s="1">
        <v>124.8</v>
      </c>
      <c r="H337" s="50">
        <v>121.5</v>
      </c>
    </row>
    <row r="338" spans="1:8" x14ac:dyDescent="0.35">
      <c r="A338" s="51" t="s">
        <v>49</v>
      </c>
      <c r="B338">
        <v>2016</v>
      </c>
      <c r="C338" t="s">
        <v>42</v>
      </c>
      <c r="D338" s="1">
        <v>135.66153846153847</v>
      </c>
      <c r="E338" s="1">
        <v>127.9</v>
      </c>
      <c r="F338" s="1">
        <v>124.1</v>
      </c>
      <c r="G338" s="1">
        <v>125.4</v>
      </c>
      <c r="H338" s="50">
        <v>122.1</v>
      </c>
    </row>
    <row r="339" spans="1:8" x14ac:dyDescent="0.35">
      <c r="A339" s="51" t="s">
        <v>49</v>
      </c>
      <c r="B339">
        <v>2016</v>
      </c>
      <c r="C339" t="s">
        <v>43</v>
      </c>
      <c r="D339" s="1">
        <v>135.93589743589743</v>
      </c>
      <c r="E339" s="1">
        <v>128.69999999999999</v>
      </c>
      <c r="F339" s="1">
        <v>124.3</v>
      </c>
      <c r="G339" s="1">
        <v>126.1</v>
      </c>
      <c r="H339" s="50">
        <v>122.1</v>
      </c>
    </row>
    <row r="340" spans="1:8" x14ac:dyDescent="0.35">
      <c r="A340" s="51" t="s">
        <v>49</v>
      </c>
      <c r="B340">
        <v>2016</v>
      </c>
      <c r="C340" t="s">
        <v>45</v>
      </c>
      <c r="D340" s="1">
        <v>135.37435897435901</v>
      </c>
      <c r="E340" s="1">
        <v>129.1</v>
      </c>
      <c r="F340" s="1">
        <v>125</v>
      </c>
      <c r="G340" s="1">
        <v>126.4</v>
      </c>
      <c r="H340" s="50">
        <v>122.6</v>
      </c>
    </row>
    <row r="341" spans="1:8" x14ac:dyDescent="0.35">
      <c r="A341" s="51" t="s">
        <v>49</v>
      </c>
      <c r="B341">
        <v>2016</v>
      </c>
      <c r="C341" t="s">
        <v>46</v>
      </c>
      <c r="D341" s="1">
        <v>133.83589743589741</v>
      </c>
      <c r="E341" s="1">
        <v>128.5</v>
      </c>
      <c r="F341" s="1">
        <v>126.6</v>
      </c>
      <c r="G341" s="1">
        <v>126.9</v>
      </c>
      <c r="H341" s="50">
        <v>121.1</v>
      </c>
    </row>
    <row r="342" spans="1:8" x14ac:dyDescent="0.35">
      <c r="A342" s="51" t="s">
        <v>49</v>
      </c>
      <c r="B342">
        <v>2017</v>
      </c>
      <c r="C342" t="s">
        <v>31</v>
      </c>
      <c r="D342" s="1">
        <v>132.76410256410256</v>
      </c>
      <c r="E342" s="1">
        <v>129.6</v>
      </c>
      <c r="F342" s="1">
        <v>126.8</v>
      </c>
      <c r="G342" s="1">
        <v>127.1</v>
      </c>
      <c r="H342" s="50">
        <v>121.7</v>
      </c>
    </row>
    <row r="343" spans="1:8" x14ac:dyDescent="0.35">
      <c r="A343" s="51" t="s">
        <v>49</v>
      </c>
      <c r="B343">
        <v>2017</v>
      </c>
      <c r="C343" t="s">
        <v>35</v>
      </c>
      <c r="D343" s="1">
        <v>132.36153846153846</v>
      </c>
      <c r="E343" s="1">
        <v>130.5</v>
      </c>
      <c r="F343" s="1">
        <v>127.9</v>
      </c>
      <c r="G343" s="1">
        <v>127.4</v>
      </c>
      <c r="H343" s="50">
        <v>122.6</v>
      </c>
    </row>
    <row r="344" spans="1:8" x14ac:dyDescent="0.35">
      <c r="A344" s="51" t="s">
        <v>49</v>
      </c>
      <c r="B344">
        <v>2017</v>
      </c>
      <c r="C344" t="s">
        <v>36</v>
      </c>
      <c r="D344" s="1">
        <v>132.13076923076926</v>
      </c>
      <c r="E344" s="1">
        <v>131.1</v>
      </c>
      <c r="F344" s="1">
        <v>129.1</v>
      </c>
      <c r="G344" s="1">
        <v>127.8</v>
      </c>
      <c r="H344" s="50">
        <v>122.6</v>
      </c>
    </row>
    <row r="345" spans="1:8" x14ac:dyDescent="0.35">
      <c r="A345" s="51" t="s">
        <v>49</v>
      </c>
      <c r="B345">
        <v>2017</v>
      </c>
      <c r="C345" t="s">
        <v>37</v>
      </c>
      <c r="D345" s="1">
        <v>132.12307692307692</v>
      </c>
      <c r="E345" s="1">
        <v>131.69999999999999</v>
      </c>
      <c r="F345" s="1">
        <v>129.80000000000001</v>
      </c>
      <c r="G345" s="1">
        <v>128.1</v>
      </c>
      <c r="H345" s="50">
        <v>123.1</v>
      </c>
    </row>
    <row r="346" spans="1:8" x14ac:dyDescent="0.35">
      <c r="A346" s="51" t="s">
        <v>49</v>
      </c>
      <c r="B346">
        <v>2017</v>
      </c>
      <c r="C346" t="s">
        <v>38</v>
      </c>
      <c r="D346" s="1">
        <v>132.22307692307692</v>
      </c>
      <c r="E346" s="1">
        <v>132.1</v>
      </c>
      <c r="F346" s="1">
        <v>129.4</v>
      </c>
      <c r="G346" s="1">
        <v>128.4</v>
      </c>
      <c r="H346" s="50">
        <v>123</v>
      </c>
    </row>
    <row r="347" spans="1:8" x14ac:dyDescent="0.35">
      <c r="A347" s="51" t="s">
        <v>49</v>
      </c>
      <c r="B347">
        <v>2017</v>
      </c>
      <c r="C347" t="s">
        <v>39</v>
      </c>
      <c r="D347" s="1">
        <v>133.44871794871793</v>
      </c>
      <c r="E347" s="1">
        <v>131.4</v>
      </c>
      <c r="F347" s="1">
        <v>128.80000000000001</v>
      </c>
      <c r="G347" s="1">
        <v>128.5</v>
      </c>
      <c r="H347" s="50">
        <v>123.4</v>
      </c>
    </row>
    <row r="348" spans="1:8" x14ac:dyDescent="0.35">
      <c r="A348" s="51" t="s">
        <v>49</v>
      </c>
      <c r="B348">
        <v>2017</v>
      </c>
      <c r="C348" t="s">
        <v>40</v>
      </c>
      <c r="D348" s="1">
        <v>136.16410256410256</v>
      </c>
      <c r="E348" s="1">
        <v>132.6</v>
      </c>
      <c r="F348" s="1">
        <v>129.4</v>
      </c>
      <c r="G348" s="1">
        <v>129.4</v>
      </c>
      <c r="H348" s="50">
        <v>123.6</v>
      </c>
    </row>
    <row r="349" spans="1:8" x14ac:dyDescent="0.35">
      <c r="A349" s="51" t="s">
        <v>49</v>
      </c>
      <c r="B349">
        <v>2017</v>
      </c>
      <c r="C349" t="s">
        <v>41</v>
      </c>
      <c r="D349" s="1">
        <v>137.16153846153844</v>
      </c>
      <c r="E349" s="1">
        <v>134.4</v>
      </c>
      <c r="F349" s="1">
        <v>129.80000000000001</v>
      </c>
      <c r="G349" s="1">
        <v>130.19999999999999</v>
      </c>
      <c r="H349" s="50">
        <v>124.5</v>
      </c>
    </row>
    <row r="350" spans="1:8" x14ac:dyDescent="0.35">
      <c r="A350" s="51" t="s">
        <v>49</v>
      </c>
      <c r="B350">
        <v>2017</v>
      </c>
      <c r="C350" t="s">
        <v>42</v>
      </c>
      <c r="D350" s="1">
        <v>136</v>
      </c>
      <c r="E350" s="1">
        <v>135.69999999999999</v>
      </c>
      <c r="F350" s="1">
        <v>131</v>
      </c>
      <c r="G350" s="1">
        <v>130.6</v>
      </c>
      <c r="H350" s="50">
        <v>125.7</v>
      </c>
    </row>
    <row r="351" spans="1:8" x14ac:dyDescent="0.35">
      <c r="A351" s="51" t="s">
        <v>49</v>
      </c>
      <c r="B351">
        <v>2017</v>
      </c>
      <c r="C351" t="s">
        <v>43</v>
      </c>
      <c r="D351" s="1">
        <v>136.82820512820513</v>
      </c>
      <c r="E351" s="1">
        <v>137.30000000000001</v>
      </c>
      <c r="F351" s="1">
        <v>132.19999999999999</v>
      </c>
      <c r="G351" s="1">
        <v>131.30000000000001</v>
      </c>
      <c r="H351" s="50">
        <v>126.2</v>
      </c>
    </row>
    <row r="352" spans="1:8" x14ac:dyDescent="0.35">
      <c r="A352" s="51" t="s">
        <v>49</v>
      </c>
      <c r="B352">
        <v>2017</v>
      </c>
      <c r="C352" t="s">
        <v>45</v>
      </c>
      <c r="D352" s="1">
        <v>139.04102564102564</v>
      </c>
      <c r="E352" s="1">
        <v>138.6</v>
      </c>
      <c r="F352" s="1">
        <v>135.30000000000001</v>
      </c>
      <c r="G352" s="1">
        <v>132.6</v>
      </c>
      <c r="H352" s="50">
        <v>126.8</v>
      </c>
    </row>
    <row r="353" spans="1:8" x14ac:dyDescent="0.35">
      <c r="A353" s="51" t="s">
        <v>49</v>
      </c>
      <c r="B353">
        <v>2017</v>
      </c>
      <c r="C353" t="s">
        <v>46</v>
      </c>
      <c r="D353" s="1">
        <v>137.84871794871796</v>
      </c>
      <c r="E353" s="1">
        <v>139.1</v>
      </c>
      <c r="F353" s="1">
        <v>136.6</v>
      </c>
      <c r="G353" s="1">
        <v>133.1</v>
      </c>
      <c r="H353" s="50">
        <v>126.5</v>
      </c>
    </row>
    <row r="354" spans="1:8" x14ac:dyDescent="0.35">
      <c r="A354" s="51" t="s">
        <v>49</v>
      </c>
      <c r="B354">
        <v>2018</v>
      </c>
      <c r="C354" t="s">
        <v>31</v>
      </c>
      <c r="D354" s="1">
        <v>136.63846153846154</v>
      </c>
      <c r="E354" s="1">
        <v>140.4</v>
      </c>
      <c r="F354" s="1">
        <v>136.6</v>
      </c>
      <c r="G354" s="1">
        <v>133.30000000000001</v>
      </c>
      <c r="H354" s="50">
        <v>127.3</v>
      </c>
    </row>
    <row r="355" spans="1:8" x14ac:dyDescent="0.35">
      <c r="A355" s="51" t="s">
        <v>49</v>
      </c>
      <c r="B355">
        <v>2018</v>
      </c>
      <c r="C355" t="s">
        <v>35</v>
      </c>
      <c r="D355" s="1">
        <v>135.12307692307689</v>
      </c>
      <c r="E355" s="1">
        <v>141.30000000000001</v>
      </c>
      <c r="F355" s="1">
        <v>136.69999999999999</v>
      </c>
      <c r="G355" s="1">
        <v>133.80000000000001</v>
      </c>
      <c r="H355" s="50">
        <v>127.7</v>
      </c>
    </row>
    <row r="356" spans="1:8" x14ac:dyDescent="0.35">
      <c r="A356" s="51" t="s">
        <v>49</v>
      </c>
      <c r="B356">
        <v>2018</v>
      </c>
      <c r="C356" t="s">
        <v>36</v>
      </c>
      <c r="D356" s="1">
        <v>134.70512820512818</v>
      </c>
      <c r="E356" s="1">
        <v>142</v>
      </c>
      <c r="F356" s="1">
        <v>136.5</v>
      </c>
      <c r="G356" s="1">
        <v>134.30000000000001</v>
      </c>
      <c r="H356" s="50">
        <v>128.19999999999999</v>
      </c>
    </row>
    <row r="357" spans="1:8" x14ac:dyDescent="0.35">
      <c r="A357" s="51" t="s">
        <v>49</v>
      </c>
      <c r="B357">
        <v>2018</v>
      </c>
      <c r="C357" t="s">
        <v>37</v>
      </c>
      <c r="D357" s="1">
        <v>134.79743589743589</v>
      </c>
      <c r="E357" s="1">
        <v>142.9</v>
      </c>
      <c r="F357" s="1">
        <v>136.5</v>
      </c>
      <c r="G357" s="1">
        <v>135.19999999999999</v>
      </c>
      <c r="H357" s="50">
        <v>129.19999999999999</v>
      </c>
    </row>
    <row r="358" spans="1:8" x14ac:dyDescent="0.35">
      <c r="A358" s="51" t="s">
        <v>49</v>
      </c>
      <c r="B358">
        <v>2018</v>
      </c>
      <c r="C358" t="s">
        <v>38</v>
      </c>
      <c r="D358" s="1">
        <v>135.00256410256412</v>
      </c>
      <c r="E358" s="1">
        <v>143.19999999999999</v>
      </c>
      <c r="F358" s="1">
        <v>136.9</v>
      </c>
      <c r="G358" s="1">
        <v>136</v>
      </c>
      <c r="H358" s="50">
        <v>129.9</v>
      </c>
    </row>
    <row r="359" spans="1:8" x14ac:dyDescent="0.35">
      <c r="A359" s="51" t="s">
        <v>49</v>
      </c>
      <c r="B359">
        <v>2018</v>
      </c>
      <c r="C359" t="s">
        <v>39</v>
      </c>
      <c r="D359" s="1">
        <v>136.19743589743592</v>
      </c>
      <c r="E359" s="1">
        <v>142.5</v>
      </c>
      <c r="F359" s="1">
        <v>138.1</v>
      </c>
      <c r="G359" s="1">
        <v>136.19999999999999</v>
      </c>
      <c r="H359" s="50">
        <v>130.1</v>
      </c>
    </row>
    <row r="360" spans="1:8" x14ac:dyDescent="0.35">
      <c r="A360" s="51" t="s">
        <v>49</v>
      </c>
      <c r="B360">
        <v>2018</v>
      </c>
      <c r="C360" t="s">
        <v>40</v>
      </c>
      <c r="D360" s="1">
        <v>137.8692307692308</v>
      </c>
      <c r="E360" s="1">
        <v>143.6</v>
      </c>
      <c r="F360" s="1">
        <v>139.69999999999999</v>
      </c>
      <c r="G360" s="1">
        <v>137</v>
      </c>
      <c r="H360" s="50">
        <v>130.1</v>
      </c>
    </row>
    <row r="361" spans="1:8" x14ac:dyDescent="0.35">
      <c r="A361" s="51" t="s">
        <v>49</v>
      </c>
      <c r="B361">
        <v>2018</v>
      </c>
      <c r="C361" t="s">
        <v>41</v>
      </c>
      <c r="D361" s="1">
        <v>138.07948717948719</v>
      </c>
      <c r="E361" s="1">
        <v>144.6</v>
      </c>
      <c r="F361" s="1">
        <v>140.9</v>
      </c>
      <c r="G361" s="1">
        <v>137.69999999999999</v>
      </c>
      <c r="H361" s="50">
        <v>130.1</v>
      </c>
    </row>
    <row r="362" spans="1:8" x14ac:dyDescent="0.35">
      <c r="A362" s="51" t="s">
        <v>49</v>
      </c>
      <c r="B362">
        <v>2018</v>
      </c>
      <c r="C362" t="s">
        <v>42</v>
      </c>
      <c r="D362" s="1">
        <v>136.6076923076923</v>
      </c>
      <c r="E362" s="1">
        <v>145.30000000000001</v>
      </c>
      <c r="F362" s="1">
        <v>142.30000000000001</v>
      </c>
      <c r="G362" s="1">
        <v>138.4</v>
      </c>
      <c r="H362" s="50">
        <v>130.9</v>
      </c>
    </row>
    <row r="363" spans="1:8" x14ac:dyDescent="0.35">
      <c r="A363" s="51" t="s">
        <v>49</v>
      </c>
      <c r="B363">
        <v>2018</v>
      </c>
      <c r="C363" t="s">
        <v>43</v>
      </c>
      <c r="D363" s="1">
        <v>136.21794871794873</v>
      </c>
      <c r="E363" s="1">
        <v>146.9</v>
      </c>
      <c r="F363" s="1">
        <v>145.30000000000001</v>
      </c>
      <c r="G363" s="1">
        <v>142.1</v>
      </c>
      <c r="H363" s="50">
        <v>132</v>
      </c>
    </row>
    <row r="364" spans="1:8" x14ac:dyDescent="0.35">
      <c r="A364" s="51" t="s">
        <v>49</v>
      </c>
      <c r="B364">
        <v>2018</v>
      </c>
      <c r="C364" t="s">
        <v>45</v>
      </c>
      <c r="D364" s="1">
        <v>136.42820512820512</v>
      </c>
      <c r="E364" s="1">
        <v>146.9</v>
      </c>
      <c r="F364" s="1">
        <v>145.1</v>
      </c>
      <c r="G364" s="1">
        <v>142.1</v>
      </c>
      <c r="H364" s="50">
        <v>132</v>
      </c>
    </row>
    <row r="365" spans="1:8" x14ac:dyDescent="0.35">
      <c r="A365" s="51" t="s">
        <v>49</v>
      </c>
      <c r="B365">
        <v>2018</v>
      </c>
      <c r="C365" t="s">
        <v>46</v>
      </c>
      <c r="D365" s="1">
        <v>135.44871794871796</v>
      </c>
      <c r="E365" s="1">
        <v>146.5</v>
      </c>
      <c r="F365" s="1">
        <v>142.69999999999999</v>
      </c>
      <c r="G365" s="1">
        <v>144.9</v>
      </c>
      <c r="H365" s="50">
        <v>132.19999999999999</v>
      </c>
    </row>
    <row r="366" spans="1:8" x14ac:dyDescent="0.35">
      <c r="A366" s="51" t="s">
        <v>49</v>
      </c>
      <c r="B366">
        <v>2019</v>
      </c>
      <c r="C366" t="s">
        <v>31</v>
      </c>
      <c r="D366" s="1">
        <v>134.80256410256408</v>
      </c>
      <c r="E366" s="1">
        <v>147.69999999999999</v>
      </c>
      <c r="F366" s="1">
        <v>139.5</v>
      </c>
      <c r="G366" s="1">
        <v>145.1</v>
      </c>
      <c r="H366" s="50">
        <v>132.80000000000001</v>
      </c>
    </row>
    <row r="367" spans="1:8" x14ac:dyDescent="0.35">
      <c r="A367" s="51" t="s">
        <v>49</v>
      </c>
      <c r="B367">
        <v>2019</v>
      </c>
      <c r="C367" t="s">
        <v>35</v>
      </c>
      <c r="D367" s="1">
        <v>135.1615384615385</v>
      </c>
      <c r="E367" s="1">
        <v>148.5</v>
      </c>
      <c r="F367" s="1">
        <v>138.4</v>
      </c>
      <c r="G367" s="1">
        <v>145.6</v>
      </c>
      <c r="H367" s="50">
        <v>134.1</v>
      </c>
    </row>
    <row r="368" spans="1:8" x14ac:dyDescent="0.35">
      <c r="A368" s="51" t="s">
        <v>49</v>
      </c>
      <c r="B368">
        <v>2019</v>
      </c>
      <c r="C368" t="s">
        <v>36</v>
      </c>
      <c r="D368" s="1">
        <v>135.7051282051282</v>
      </c>
      <c r="E368" s="1">
        <v>149</v>
      </c>
      <c r="F368" s="1">
        <v>139.69999999999999</v>
      </c>
      <c r="G368" s="1">
        <v>146.19999999999999</v>
      </c>
      <c r="H368" s="50">
        <v>133.4</v>
      </c>
    </row>
    <row r="369" spans="1:8" x14ac:dyDescent="0.35">
      <c r="A369" s="51" t="s">
        <v>49</v>
      </c>
      <c r="B369">
        <v>2019</v>
      </c>
      <c r="C369" t="s">
        <v>38</v>
      </c>
      <c r="D369" s="1">
        <v>138.08974358974359</v>
      </c>
      <c r="E369" s="1">
        <v>150.1</v>
      </c>
      <c r="F369" s="1">
        <v>140.30000000000001</v>
      </c>
      <c r="G369" s="1">
        <v>146.9</v>
      </c>
      <c r="H369" s="50">
        <v>133.4</v>
      </c>
    </row>
    <row r="370" spans="1:8" x14ac:dyDescent="0.35">
      <c r="A370" s="51" t="s">
        <v>49</v>
      </c>
      <c r="B370">
        <v>2019</v>
      </c>
      <c r="C370" t="s">
        <v>39</v>
      </c>
      <c r="D370" s="1">
        <v>139.78461538461539</v>
      </c>
      <c r="E370" s="1">
        <v>149.4</v>
      </c>
      <c r="F370" s="1">
        <v>141.19999999999999</v>
      </c>
      <c r="G370" s="1">
        <v>147.4</v>
      </c>
      <c r="H370" s="50">
        <v>134.30000000000001</v>
      </c>
    </row>
    <row r="371" spans="1:8" x14ac:dyDescent="0.35">
      <c r="A371" s="51" t="s">
        <v>49</v>
      </c>
      <c r="B371">
        <v>2019</v>
      </c>
      <c r="C371" t="s">
        <v>40</v>
      </c>
      <c r="D371" s="1">
        <v>141.58461538461538</v>
      </c>
      <c r="E371" s="1">
        <v>150.6</v>
      </c>
      <c r="F371" s="1">
        <v>139.30000000000001</v>
      </c>
      <c r="G371" s="1">
        <v>147.9</v>
      </c>
      <c r="H371" s="50">
        <v>135.69999999999999</v>
      </c>
    </row>
    <row r="372" spans="1:8" x14ac:dyDescent="0.35">
      <c r="A372" s="51" t="s">
        <v>49</v>
      </c>
      <c r="B372">
        <v>2019</v>
      </c>
      <c r="C372" t="s">
        <v>41</v>
      </c>
      <c r="D372" s="1">
        <v>142.31025641025639</v>
      </c>
      <c r="E372" s="1">
        <v>151.6</v>
      </c>
      <c r="F372" s="1">
        <v>138.5</v>
      </c>
      <c r="G372" s="1">
        <v>148.5</v>
      </c>
      <c r="H372" s="50">
        <v>138.4</v>
      </c>
    </row>
    <row r="373" spans="1:8" x14ac:dyDescent="0.35">
      <c r="A373" s="51" t="s">
        <v>49</v>
      </c>
      <c r="B373">
        <v>2019</v>
      </c>
      <c r="C373" t="s">
        <v>42</v>
      </c>
      <c r="D373" s="1">
        <v>143.1102564102564</v>
      </c>
      <c r="E373" s="1">
        <v>152.19999999999999</v>
      </c>
      <c r="F373" s="1">
        <v>139.19999999999999</v>
      </c>
      <c r="G373" s="1">
        <v>149</v>
      </c>
      <c r="H373" s="50">
        <v>139.69999999999999</v>
      </c>
    </row>
    <row r="374" spans="1:8" x14ac:dyDescent="0.35">
      <c r="A374" s="51" t="s">
        <v>49</v>
      </c>
      <c r="B374">
        <v>2019</v>
      </c>
      <c r="C374" t="s">
        <v>43</v>
      </c>
      <c r="D374" s="1">
        <v>145.25897435897437</v>
      </c>
      <c r="E374" s="1">
        <v>153</v>
      </c>
      <c r="F374" s="1">
        <v>140.6</v>
      </c>
      <c r="G374" s="1">
        <v>149.4</v>
      </c>
      <c r="H374" s="50">
        <v>140</v>
      </c>
    </row>
    <row r="375" spans="1:8" x14ac:dyDescent="0.35">
      <c r="A375" s="51" t="s">
        <v>49</v>
      </c>
      <c r="B375">
        <v>2019</v>
      </c>
      <c r="C375" t="s">
        <v>45</v>
      </c>
      <c r="D375" s="1">
        <v>147.16666666666669</v>
      </c>
      <c r="E375" s="1">
        <v>153.5</v>
      </c>
      <c r="F375" s="1">
        <v>142.30000000000001</v>
      </c>
      <c r="G375" s="1">
        <v>149.9</v>
      </c>
      <c r="H375" s="50">
        <v>140.30000000000001</v>
      </c>
    </row>
    <row r="376" spans="1:8" x14ac:dyDescent="0.35">
      <c r="A376" s="51" t="s">
        <v>49</v>
      </c>
      <c r="B376">
        <v>2019</v>
      </c>
      <c r="C376" t="s">
        <v>46</v>
      </c>
      <c r="D376" s="1">
        <v>149.84102564102562</v>
      </c>
      <c r="E376" s="1">
        <v>152.80000000000001</v>
      </c>
      <c r="F376" s="1">
        <v>143.69999999999999</v>
      </c>
      <c r="G376" s="1">
        <v>150.4</v>
      </c>
      <c r="H376" s="50">
        <v>140.4</v>
      </c>
    </row>
    <row r="377" spans="1:8" x14ac:dyDescent="0.35">
      <c r="A377" s="51" t="s">
        <v>49</v>
      </c>
      <c r="B377">
        <v>2020</v>
      </c>
      <c r="C377" t="s">
        <v>31</v>
      </c>
      <c r="D377" s="1">
        <v>149.34358974358975</v>
      </c>
      <c r="E377" s="1">
        <v>153.9</v>
      </c>
      <c r="F377" s="1">
        <v>144.6</v>
      </c>
      <c r="G377" s="1">
        <v>151.19999999999999</v>
      </c>
      <c r="H377" s="50">
        <v>142.30000000000001</v>
      </c>
    </row>
    <row r="378" spans="1:8" x14ac:dyDescent="0.35">
      <c r="A378" s="51" t="s">
        <v>49</v>
      </c>
      <c r="B378">
        <v>2020</v>
      </c>
      <c r="C378" t="s">
        <v>35</v>
      </c>
      <c r="D378" s="1">
        <v>147.12820512820511</v>
      </c>
      <c r="E378" s="1">
        <v>154.80000000000001</v>
      </c>
      <c r="F378" s="1">
        <v>147.19999999999999</v>
      </c>
      <c r="G378" s="1">
        <v>151.69999999999999</v>
      </c>
      <c r="H378" s="50">
        <v>143.4</v>
      </c>
    </row>
    <row r="379" spans="1:8" x14ac:dyDescent="0.35">
      <c r="A379" s="51" t="s">
        <v>49</v>
      </c>
      <c r="B379">
        <v>2020</v>
      </c>
      <c r="C379" t="s">
        <v>36</v>
      </c>
      <c r="D379" s="1">
        <v>145.85897435897436</v>
      </c>
      <c r="E379" s="1">
        <v>154.5</v>
      </c>
      <c r="F379" s="1">
        <v>148.9</v>
      </c>
      <c r="G379" s="1">
        <v>152.30000000000001</v>
      </c>
      <c r="H379" s="50">
        <v>145.19999999999999</v>
      </c>
    </row>
    <row r="380" spans="1:8" x14ac:dyDescent="0.35">
      <c r="A380" s="51" t="s">
        <v>49</v>
      </c>
      <c r="B380">
        <v>2020</v>
      </c>
      <c r="C380" t="s">
        <v>37</v>
      </c>
      <c r="D380" s="1" t="s">
        <v>32</v>
      </c>
      <c r="E380" s="1">
        <v>155.6</v>
      </c>
      <c r="F380" s="1">
        <v>144.1</v>
      </c>
      <c r="G380" s="1">
        <v>150.69999999999999</v>
      </c>
      <c r="H380" s="50" t="s">
        <v>32</v>
      </c>
    </row>
    <row r="381" spans="1:8" x14ac:dyDescent="0.35">
      <c r="A381" s="51" t="s">
        <v>49</v>
      </c>
      <c r="B381">
        <v>2020</v>
      </c>
      <c r="C381" t="s">
        <v>38</v>
      </c>
      <c r="D381" s="1" t="s">
        <v>32</v>
      </c>
      <c r="E381" s="1" t="s">
        <v>32</v>
      </c>
      <c r="F381" s="1" t="s">
        <v>32</v>
      </c>
      <c r="G381" s="1" t="s">
        <v>32</v>
      </c>
      <c r="H381" s="50" t="s">
        <v>32</v>
      </c>
    </row>
    <row r="382" spans="1:8" x14ac:dyDescent="0.35">
      <c r="A382" s="51" t="s">
        <v>49</v>
      </c>
      <c r="B382">
        <v>2020</v>
      </c>
      <c r="C382" t="s">
        <v>39</v>
      </c>
      <c r="D382" s="1">
        <v>151.6102564102564</v>
      </c>
      <c r="E382" s="1">
        <v>154.69999999999999</v>
      </c>
      <c r="F382" s="1">
        <v>141.9</v>
      </c>
      <c r="G382" s="1">
        <v>154.4</v>
      </c>
      <c r="H382" s="50">
        <v>151.6</v>
      </c>
    </row>
    <row r="383" spans="1:8" x14ac:dyDescent="0.35">
      <c r="A383" s="51" t="s">
        <v>49</v>
      </c>
      <c r="B383">
        <v>2020</v>
      </c>
      <c r="C383" t="s">
        <v>40</v>
      </c>
      <c r="D383" s="1">
        <v>151.6102564102564</v>
      </c>
      <c r="E383" s="1">
        <v>154.69999999999999</v>
      </c>
      <c r="F383" s="1">
        <v>141.9</v>
      </c>
      <c r="G383" s="1">
        <v>154.4</v>
      </c>
      <c r="H383" s="50">
        <v>151.6</v>
      </c>
    </row>
    <row r="384" spans="1:8" x14ac:dyDescent="0.35">
      <c r="A384" s="51" t="s">
        <v>49</v>
      </c>
      <c r="B384">
        <v>2020</v>
      </c>
      <c r="C384" t="s">
        <v>41</v>
      </c>
      <c r="D384" s="1">
        <v>153.81282051282051</v>
      </c>
      <c r="E384" s="1">
        <v>155.5</v>
      </c>
      <c r="F384" s="1">
        <v>143</v>
      </c>
      <c r="G384" s="1">
        <v>155</v>
      </c>
      <c r="H384" s="50">
        <v>154.30000000000001</v>
      </c>
    </row>
    <row r="385" spans="1:8" x14ac:dyDescent="0.35">
      <c r="A385" s="51" t="s">
        <v>49</v>
      </c>
      <c r="B385">
        <v>2020</v>
      </c>
      <c r="C385" t="s">
        <v>42</v>
      </c>
      <c r="D385" s="1">
        <v>154.76923076923077</v>
      </c>
      <c r="E385" s="1">
        <v>156.30000000000001</v>
      </c>
      <c r="F385" s="1">
        <v>142.9</v>
      </c>
      <c r="G385" s="1">
        <v>155.6</v>
      </c>
      <c r="H385" s="50">
        <v>158.4</v>
      </c>
    </row>
    <row r="386" spans="1:8" x14ac:dyDescent="0.35">
      <c r="A386" s="51" t="s">
        <v>49</v>
      </c>
      <c r="B386">
        <v>2020</v>
      </c>
      <c r="C386" t="s">
        <v>43</v>
      </c>
      <c r="D386" s="1">
        <v>157.94102564102562</v>
      </c>
      <c r="E386" s="1">
        <v>156.5</v>
      </c>
      <c r="F386" s="1">
        <v>143.1</v>
      </c>
      <c r="G386" s="1">
        <v>156.30000000000001</v>
      </c>
      <c r="H386" s="50">
        <v>157</v>
      </c>
    </row>
    <row r="387" spans="1:8" x14ac:dyDescent="0.35">
      <c r="A387" s="51" t="s">
        <v>49</v>
      </c>
      <c r="B387">
        <v>2020</v>
      </c>
      <c r="C387" t="s">
        <v>45</v>
      </c>
      <c r="D387" s="1">
        <v>161.50512820512824</v>
      </c>
      <c r="E387" s="1">
        <v>158</v>
      </c>
      <c r="F387" s="1">
        <v>143.6</v>
      </c>
      <c r="G387" s="1">
        <v>157.19999999999999</v>
      </c>
      <c r="H387" s="50">
        <v>156.9</v>
      </c>
    </row>
    <row r="388" spans="1:8" x14ac:dyDescent="0.35">
      <c r="A388" s="51" t="s">
        <v>49</v>
      </c>
      <c r="B388">
        <v>2020</v>
      </c>
      <c r="C388" t="s">
        <v>46</v>
      </c>
      <c r="D388" s="1">
        <v>162.43589743589743</v>
      </c>
      <c r="E388" s="1">
        <v>158.4</v>
      </c>
      <c r="F388" s="1">
        <v>144.6</v>
      </c>
      <c r="G388" s="1">
        <v>158.30000000000001</v>
      </c>
      <c r="H388" s="50">
        <v>157.1</v>
      </c>
    </row>
    <row r="389" spans="1:8" x14ac:dyDescent="0.35">
      <c r="A389" s="51" t="s">
        <v>49</v>
      </c>
      <c r="B389">
        <v>2021</v>
      </c>
      <c r="C389" t="s">
        <v>31</v>
      </c>
      <c r="D389" s="1">
        <v>159.97948717948719</v>
      </c>
      <c r="E389" s="1">
        <v>157.69999999999999</v>
      </c>
      <c r="F389" s="1">
        <v>147.9</v>
      </c>
      <c r="G389" s="1">
        <v>159.30000000000001</v>
      </c>
      <c r="H389" s="50">
        <v>156.80000000000001</v>
      </c>
    </row>
    <row r="390" spans="1:8" x14ac:dyDescent="0.35">
      <c r="A390" s="51" t="s">
        <v>49</v>
      </c>
      <c r="B390">
        <v>2021</v>
      </c>
      <c r="C390" t="s">
        <v>35</v>
      </c>
      <c r="D390" s="1">
        <v>157.19487179487183</v>
      </c>
      <c r="E390" s="1">
        <v>159.80000000000001</v>
      </c>
      <c r="F390" s="1">
        <v>152.4</v>
      </c>
      <c r="G390" s="1">
        <v>161.30000000000001</v>
      </c>
      <c r="H390" s="50">
        <v>155.80000000000001</v>
      </c>
    </row>
    <row r="391" spans="1:8" x14ac:dyDescent="0.35">
      <c r="A391" s="51" t="s">
        <v>49</v>
      </c>
      <c r="B391">
        <v>2021</v>
      </c>
      <c r="C391" t="s">
        <v>36</v>
      </c>
      <c r="D391" s="1">
        <v>157.16923076923078</v>
      </c>
      <c r="E391" s="1">
        <v>159.9</v>
      </c>
      <c r="F391" s="1">
        <v>155.5</v>
      </c>
      <c r="G391" s="1">
        <v>161.69999999999999</v>
      </c>
      <c r="H391" s="50">
        <v>153.80000000000001</v>
      </c>
    </row>
    <row r="392" spans="1:8" x14ac:dyDescent="0.35">
      <c r="A392" s="51" t="s">
        <v>49</v>
      </c>
      <c r="B392">
        <v>2021</v>
      </c>
      <c r="C392" t="s">
        <v>37</v>
      </c>
      <c r="D392" s="1">
        <v>159.05641025641029</v>
      </c>
      <c r="E392" s="1">
        <v>161.4</v>
      </c>
      <c r="F392" s="1">
        <v>155.6</v>
      </c>
      <c r="G392" s="1">
        <v>162.30000000000001</v>
      </c>
      <c r="H392" s="50">
        <v>155.4</v>
      </c>
    </row>
    <row r="393" spans="1:8" x14ac:dyDescent="0.35">
      <c r="A393" s="51" t="s">
        <v>49</v>
      </c>
      <c r="B393">
        <v>2021</v>
      </c>
      <c r="C393" t="s">
        <v>38</v>
      </c>
      <c r="D393" s="1">
        <v>162.19743589743592</v>
      </c>
      <c r="E393" s="1">
        <v>161.6</v>
      </c>
      <c r="F393" s="1">
        <v>159.4</v>
      </c>
      <c r="G393" s="1">
        <v>165.8</v>
      </c>
      <c r="H393" s="50">
        <v>158.6</v>
      </c>
    </row>
    <row r="394" spans="1:8" x14ac:dyDescent="0.35">
      <c r="A394" s="51" t="s">
        <v>49</v>
      </c>
      <c r="B394">
        <v>2021</v>
      </c>
      <c r="C394" t="s">
        <v>39</v>
      </c>
      <c r="D394" s="1">
        <v>164.37692307692308</v>
      </c>
      <c r="E394" s="1">
        <v>160.5</v>
      </c>
      <c r="F394" s="1">
        <v>159.80000000000001</v>
      </c>
      <c r="G394" s="1">
        <v>166.3</v>
      </c>
      <c r="H394" s="50">
        <v>158.80000000000001</v>
      </c>
    </row>
    <row r="395" spans="1:8" x14ac:dyDescent="0.35">
      <c r="A395" s="51" t="s">
        <v>49</v>
      </c>
      <c r="B395">
        <v>2021</v>
      </c>
      <c r="C395" t="s">
        <v>40</v>
      </c>
      <c r="D395" s="1">
        <v>165.41538461538462</v>
      </c>
      <c r="E395" s="1">
        <v>161.5</v>
      </c>
      <c r="F395" s="1">
        <v>160.69999999999999</v>
      </c>
      <c r="G395" s="1">
        <v>167</v>
      </c>
      <c r="H395" s="50">
        <v>160.1</v>
      </c>
    </row>
    <row r="396" spans="1:8" x14ac:dyDescent="0.35">
      <c r="A396" s="51" t="s">
        <v>49</v>
      </c>
      <c r="B396">
        <v>2021</v>
      </c>
      <c r="C396" t="s">
        <v>41</v>
      </c>
      <c r="D396" s="1">
        <v>164.88974358974363</v>
      </c>
      <c r="E396" s="1">
        <v>162.1</v>
      </c>
      <c r="F396" s="1">
        <v>162.6</v>
      </c>
      <c r="G396" s="1">
        <v>168.4</v>
      </c>
      <c r="H396" s="50">
        <v>160</v>
      </c>
    </row>
    <row r="397" spans="1:8" x14ac:dyDescent="0.35">
      <c r="A397" s="51" t="s">
        <v>49</v>
      </c>
      <c r="B397">
        <v>2021</v>
      </c>
      <c r="C397" t="s">
        <v>42</v>
      </c>
      <c r="D397" s="1">
        <v>164.96153846153845</v>
      </c>
      <c r="E397" s="1">
        <v>162.1</v>
      </c>
      <c r="F397" s="1">
        <v>162.6</v>
      </c>
      <c r="G397" s="1">
        <v>168.4</v>
      </c>
      <c r="H397" s="50">
        <v>160</v>
      </c>
    </row>
    <row r="398" spans="1:8" x14ac:dyDescent="0.35">
      <c r="A398" s="51" t="s">
        <v>49</v>
      </c>
      <c r="B398">
        <v>2021</v>
      </c>
      <c r="C398" t="s">
        <v>43</v>
      </c>
      <c r="D398" s="1">
        <v>167.64358974358973</v>
      </c>
      <c r="E398" s="1">
        <v>163.6</v>
      </c>
      <c r="F398" s="1">
        <v>164.2</v>
      </c>
      <c r="G398" s="1">
        <v>169.1</v>
      </c>
      <c r="H398" s="50">
        <v>160.80000000000001</v>
      </c>
    </row>
    <row r="399" spans="1:8" x14ac:dyDescent="0.35">
      <c r="A399" s="51" t="s">
        <v>49</v>
      </c>
      <c r="B399">
        <v>2021</v>
      </c>
      <c r="C399" t="s">
        <v>45</v>
      </c>
      <c r="D399" s="1">
        <v>169.07692307692307</v>
      </c>
      <c r="E399" s="1">
        <v>164.2</v>
      </c>
      <c r="F399" s="1">
        <v>163.9</v>
      </c>
      <c r="G399" s="1">
        <v>169.9</v>
      </c>
      <c r="H399" s="50">
        <v>162.19999999999999</v>
      </c>
    </row>
    <row r="400" spans="1:8" x14ac:dyDescent="0.35">
      <c r="A400" s="51" t="s">
        <v>49</v>
      </c>
      <c r="B400">
        <v>2021</v>
      </c>
      <c r="C400" t="s">
        <v>46</v>
      </c>
      <c r="D400" s="1">
        <v>168.08717948717947</v>
      </c>
      <c r="E400" s="1">
        <v>163.4</v>
      </c>
      <c r="F400" s="1">
        <v>164.1</v>
      </c>
      <c r="G400" s="1">
        <v>170.6</v>
      </c>
      <c r="H400" s="50">
        <v>162.6</v>
      </c>
    </row>
    <row r="401" spans="1:8" x14ac:dyDescent="0.35">
      <c r="A401" s="51" t="s">
        <v>49</v>
      </c>
      <c r="B401">
        <v>2022</v>
      </c>
      <c r="C401" t="s">
        <v>31</v>
      </c>
      <c r="D401" s="1">
        <v>166.76666666666668</v>
      </c>
      <c r="E401" s="1">
        <v>164.5</v>
      </c>
      <c r="F401" s="1">
        <v>164.2</v>
      </c>
      <c r="G401" s="1">
        <v>171.4</v>
      </c>
      <c r="H401" s="50">
        <v>163</v>
      </c>
    </row>
    <row r="402" spans="1:8" x14ac:dyDescent="0.35">
      <c r="A402" s="51" t="s">
        <v>49</v>
      </c>
      <c r="B402">
        <v>2022</v>
      </c>
      <c r="C402" t="s">
        <v>35</v>
      </c>
      <c r="D402" s="1">
        <v>166.54102564102564</v>
      </c>
      <c r="E402" s="1">
        <v>165.5</v>
      </c>
      <c r="F402" s="1">
        <v>165.7</v>
      </c>
      <c r="G402" s="1">
        <v>172.2</v>
      </c>
      <c r="H402" s="50">
        <v>164.4</v>
      </c>
    </row>
    <row r="403" spans="1:8" x14ac:dyDescent="0.35">
      <c r="A403" s="51" t="s">
        <v>49</v>
      </c>
      <c r="B403">
        <v>2022</v>
      </c>
      <c r="C403" t="s">
        <v>36</v>
      </c>
      <c r="D403" s="1">
        <v>168.1948717948718</v>
      </c>
      <c r="E403" s="1">
        <v>165.3</v>
      </c>
      <c r="F403" s="1">
        <v>167.2</v>
      </c>
      <c r="G403" s="1">
        <v>173</v>
      </c>
      <c r="H403" s="50">
        <v>167.2</v>
      </c>
    </row>
    <row r="404" spans="1:8" x14ac:dyDescent="0.35">
      <c r="A404" s="51" t="s">
        <v>49</v>
      </c>
      <c r="B404">
        <v>2022</v>
      </c>
      <c r="C404" t="s">
        <v>37</v>
      </c>
      <c r="D404" s="1">
        <v>170.54615384615383</v>
      </c>
      <c r="E404" s="1">
        <v>167</v>
      </c>
      <c r="F404" s="1">
        <v>172.2</v>
      </c>
      <c r="G404" s="1">
        <v>174</v>
      </c>
      <c r="H404" s="50">
        <v>168.8</v>
      </c>
    </row>
    <row r="405" spans="1:8" x14ac:dyDescent="0.35">
      <c r="A405" s="51" t="s">
        <v>49</v>
      </c>
      <c r="B405">
        <v>2022</v>
      </c>
      <c r="C405" t="s">
        <v>38</v>
      </c>
      <c r="D405" s="1">
        <v>172.51025641025643</v>
      </c>
      <c r="E405" s="1">
        <v>167.5</v>
      </c>
      <c r="F405" s="1">
        <v>174.6</v>
      </c>
      <c r="G405" s="1">
        <v>174.8</v>
      </c>
      <c r="H405" s="50">
        <v>168.4</v>
      </c>
    </row>
    <row r="406" spans="1:8" x14ac:dyDescent="0.35">
      <c r="A406" s="51" t="s">
        <v>49</v>
      </c>
      <c r="B406">
        <v>2022</v>
      </c>
      <c r="C406" t="s">
        <v>39</v>
      </c>
      <c r="D406" s="1">
        <v>174.3</v>
      </c>
      <c r="E406" s="1">
        <v>166.8</v>
      </c>
      <c r="F406" s="1">
        <v>176</v>
      </c>
      <c r="G406" s="1">
        <v>175.4</v>
      </c>
      <c r="H406" s="50">
        <v>169.4</v>
      </c>
    </row>
    <row r="407" spans="1:8" x14ac:dyDescent="0.35">
      <c r="A407" s="51" t="s">
        <v>49</v>
      </c>
      <c r="B407">
        <v>2022</v>
      </c>
      <c r="C407" t="s">
        <v>40</v>
      </c>
      <c r="D407" s="1">
        <v>174.62564102564102</v>
      </c>
      <c r="E407" s="1">
        <v>167.8</v>
      </c>
      <c r="F407" s="1">
        <v>179.6</v>
      </c>
      <c r="G407" s="1">
        <v>176.1</v>
      </c>
      <c r="H407" s="50">
        <v>169.7</v>
      </c>
    </row>
    <row r="408" spans="1:8" x14ac:dyDescent="0.35">
      <c r="A408" s="51" t="s">
        <v>49</v>
      </c>
      <c r="B408">
        <v>2022</v>
      </c>
      <c r="C408" t="s">
        <v>41</v>
      </c>
      <c r="D408" s="1">
        <v>174.83846153846156</v>
      </c>
      <c r="E408" s="1">
        <v>169</v>
      </c>
      <c r="F408" s="1">
        <v>178.8</v>
      </c>
      <c r="G408" s="1">
        <v>176.8</v>
      </c>
      <c r="H408" s="50">
        <v>171.2</v>
      </c>
    </row>
    <row r="409" spans="1:8" x14ac:dyDescent="0.35">
      <c r="A409" s="51" t="s">
        <v>49</v>
      </c>
      <c r="B409">
        <v>2022</v>
      </c>
      <c r="C409" t="s">
        <v>42</v>
      </c>
      <c r="D409" s="1">
        <v>175.77179487179487</v>
      </c>
      <c r="E409" s="1">
        <v>169.5</v>
      </c>
      <c r="F409" s="1">
        <v>179.5</v>
      </c>
      <c r="G409" s="1">
        <v>177.8</v>
      </c>
      <c r="H409" s="50">
        <v>170.9</v>
      </c>
    </row>
    <row r="410" spans="1:8" x14ac:dyDescent="0.35">
      <c r="A410" s="51" t="s">
        <v>49</v>
      </c>
      <c r="B410">
        <v>2022</v>
      </c>
      <c r="C410" t="s">
        <v>43</v>
      </c>
      <c r="D410" s="1">
        <v>177.02820512820512</v>
      </c>
      <c r="E410" s="1">
        <v>171.2</v>
      </c>
      <c r="F410" s="1">
        <v>180.5</v>
      </c>
      <c r="G410" s="1">
        <v>178.7</v>
      </c>
      <c r="H410" s="50">
        <v>172.1</v>
      </c>
    </row>
    <row r="411" spans="1:8" x14ac:dyDescent="0.35">
      <c r="A411" s="51" t="s">
        <v>49</v>
      </c>
      <c r="B411">
        <v>2022</v>
      </c>
      <c r="C411" t="s">
        <v>45</v>
      </c>
      <c r="D411" s="1">
        <v>176.89487179487179</v>
      </c>
      <c r="E411" s="1">
        <v>171.8</v>
      </c>
      <c r="F411" s="1">
        <v>181.3</v>
      </c>
      <c r="G411" s="1">
        <v>179.8</v>
      </c>
      <c r="H411" s="50">
        <v>173.6</v>
      </c>
    </row>
    <row r="412" spans="1:8" x14ac:dyDescent="0.35">
      <c r="A412" s="51" t="s">
        <v>49</v>
      </c>
      <c r="B412">
        <v>2022</v>
      </c>
      <c r="C412" t="s">
        <v>46</v>
      </c>
      <c r="D412" s="1">
        <v>175.80256410256411</v>
      </c>
      <c r="E412" s="1">
        <v>170.7</v>
      </c>
      <c r="F412" s="1">
        <v>182</v>
      </c>
      <c r="G412" s="1">
        <v>181.1</v>
      </c>
      <c r="H412" s="50">
        <v>175.8</v>
      </c>
    </row>
    <row r="413" spans="1:8" x14ac:dyDescent="0.35">
      <c r="A413" s="51" t="s">
        <v>49</v>
      </c>
      <c r="B413">
        <v>2023</v>
      </c>
      <c r="C413" t="s">
        <v>31</v>
      </c>
      <c r="D413" s="1">
        <v>176.56666666666672</v>
      </c>
      <c r="E413" s="1">
        <v>172.1</v>
      </c>
      <c r="F413" s="1">
        <v>182</v>
      </c>
      <c r="G413" s="1">
        <v>182.3</v>
      </c>
      <c r="H413" s="50">
        <v>178.6</v>
      </c>
    </row>
    <row r="414" spans="1:8" x14ac:dyDescent="0.35">
      <c r="A414" s="51" t="s">
        <v>49</v>
      </c>
      <c r="B414">
        <v>2023</v>
      </c>
      <c r="C414" t="s">
        <v>35</v>
      </c>
      <c r="D414" s="1">
        <v>175.58974358974359</v>
      </c>
      <c r="E414" s="1">
        <v>173.5</v>
      </c>
      <c r="F414" s="1">
        <v>182.1</v>
      </c>
      <c r="G414" s="1">
        <v>184.4</v>
      </c>
      <c r="H414" s="50">
        <v>181</v>
      </c>
    </row>
    <row r="415" spans="1:8" x14ac:dyDescent="0.35">
      <c r="A415" s="51" t="s">
        <v>49</v>
      </c>
      <c r="B415">
        <v>2023</v>
      </c>
      <c r="C415" t="s">
        <v>36</v>
      </c>
      <c r="D415" s="1">
        <v>175.59999999999997</v>
      </c>
      <c r="E415" s="1">
        <v>173.5</v>
      </c>
      <c r="F415" s="1">
        <v>181.9</v>
      </c>
      <c r="G415" s="1">
        <v>184.4</v>
      </c>
      <c r="H415" s="50">
        <v>181</v>
      </c>
    </row>
    <row r="416" spans="1:8" x14ac:dyDescent="0.35">
      <c r="A416" s="51" t="s">
        <v>49</v>
      </c>
      <c r="B416">
        <v>2023</v>
      </c>
      <c r="C416" t="s">
        <v>37</v>
      </c>
      <c r="D416" s="1">
        <v>176.44871794871796</v>
      </c>
      <c r="E416" s="1">
        <v>175.2</v>
      </c>
      <c r="F416" s="1">
        <v>181.7</v>
      </c>
      <c r="G416" s="1">
        <v>185</v>
      </c>
      <c r="H416" s="50">
        <v>184</v>
      </c>
    </row>
    <row r="417" spans="1:8" x14ac:dyDescent="0.35">
      <c r="A417" s="51" t="s">
        <v>49</v>
      </c>
      <c r="B417" s="51">
        <v>2023</v>
      </c>
      <c r="C417" s="51" t="s">
        <v>38</v>
      </c>
      <c r="D417" s="50">
        <v>177.76153846153846</v>
      </c>
      <c r="E417" s="50">
        <v>175.6</v>
      </c>
      <c r="F417" s="50">
        <v>182.8</v>
      </c>
      <c r="G417" s="50">
        <v>185.7</v>
      </c>
      <c r="H417" s="50">
        <v>185.2</v>
      </c>
    </row>
    <row r="425" spans="1:8" x14ac:dyDescent="0.35">
      <c r="A425" s="5" t="s">
        <v>99</v>
      </c>
      <c r="G425">
        <f>((E379-E368)/E368)*100</f>
        <v>3.6912751677852351</v>
      </c>
    </row>
    <row r="426" spans="1:8" x14ac:dyDescent="0.35">
      <c r="A426" s="64" t="s">
        <v>76</v>
      </c>
      <c r="B426" s="64" t="s">
        <v>64</v>
      </c>
      <c r="C426" s="64" t="s">
        <v>65</v>
      </c>
      <c r="D426" s="64" t="s">
        <v>66</v>
      </c>
      <c r="E426" s="64" t="s">
        <v>67</v>
      </c>
    </row>
    <row r="427" spans="1:8" hidden="1" x14ac:dyDescent="0.35">
      <c r="A427" s="67" t="s">
        <v>62</v>
      </c>
      <c r="B427" s="65">
        <f>((D390-D379)/D379)*100</f>
        <v>7.7718203392810254</v>
      </c>
      <c r="C427" s="65">
        <f>((D379-D368)/D368)*100</f>
        <v>7.4822862541332125</v>
      </c>
      <c r="D427" s="65">
        <f>((D391-D379)/D379)*100</f>
        <v>7.7542410125692216</v>
      </c>
      <c r="E427" s="65">
        <f>((D403-D391)/D391)*100</f>
        <v>7.0151396502218715</v>
      </c>
    </row>
    <row r="428" spans="1:8" hidden="1" x14ac:dyDescent="0.35">
      <c r="A428" s="68" t="s">
        <v>20</v>
      </c>
      <c r="B428" s="66">
        <f>((E390-E379)/E379)*100</f>
        <v>3.4304207119741172</v>
      </c>
      <c r="C428" s="66">
        <f>((E379-E368)/E368)*100</f>
        <v>3.6912751677852351</v>
      </c>
      <c r="D428" s="66">
        <f>((E391-E379)/E379)*100</f>
        <v>3.4951456310679649</v>
      </c>
      <c r="E428" s="66">
        <f>((E403-E391)/E391)*100</f>
        <v>3.3771106941838687</v>
      </c>
    </row>
    <row r="429" spans="1:8" x14ac:dyDescent="0.35">
      <c r="A429" s="67" t="s">
        <v>21</v>
      </c>
      <c r="B429" s="65">
        <f>((F390-F379)/F379)*100</f>
        <v>2.350570852921424</v>
      </c>
      <c r="C429" s="65">
        <f>((F379-F368)/F368)*100</f>
        <v>6.5855404438081733</v>
      </c>
      <c r="D429" s="65">
        <f>((F391-F379)/F379)*100</f>
        <v>4.4325050369375383</v>
      </c>
      <c r="E429" s="65">
        <f>((F403-F391)/F391)*100</f>
        <v>7.524115755627002</v>
      </c>
    </row>
    <row r="430" spans="1:8" hidden="1" x14ac:dyDescent="0.35">
      <c r="A430" s="68" t="s">
        <v>23</v>
      </c>
      <c r="B430" s="66">
        <f>((G390-G379)/G379)*100</f>
        <v>5.9093893630991463</v>
      </c>
      <c r="C430" s="66">
        <f>((G379-G368)/G368)*100</f>
        <v>4.1723666210670469</v>
      </c>
      <c r="D430" s="66">
        <f>((G391-G379)/G379)*100</f>
        <v>6.1720288903479821</v>
      </c>
      <c r="E430" s="66">
        <f>((G403-G391)/G391)*100</f>
        <v>6.9882498453927102</v>
      </c>
    </row>
    <row r="431" spans="1:8" hidden="1" x14ac:dyDescent="0.35">
      <c r="A431" s="67" t="s">
        <v>27</v>
      </c>
      <c r="B431" s="65">
        <f>((H390-H379)/H379)*100</f>
        <v>7.3002754820936806</v>
      </c>
      <c r="C431" s="65">
        <f>((H379-H368)/H368)*100</f>
        <v>8.8455772113942892</v>
      </c>
      <c r="D431" s="65">
        <f>((H391-H379)/H379)*100</f>
        <v>5.9228650137741212</v>
      </c>
      <c r="E431" s="65">
        <f>((H403-H391)/H391)*100</f>
        <v>8.7126137841352254</v>
      </c>
    </row>
    <row r="468" spans="1:12" x14ac:dyDescent="0.35">
      <c r="A468" s="36" t="s">
        <v>113</v>
      </c>
      <c r="B468" s="37"/>
      <c r="C468" s="37"/>
      <c r="D468" s="38"/>
    </row>
    <row r="469" spans="1:12" x14ac:dyDescent="0.35">
      <c r="A469" s="40" t="s">
        <v>102</v>
      </c>
      <c r="B469" s="35"/>
      <c r="C469" s="35"/>
      <c r="D469" s="41"/>
    </row>
    <row r="470" spans="1:12" x14ac:dyDescent="0.35">
      <c r="A470" s="5" t="s">
        <v>1</v>
      </c>
      <c r="B470" s="5" t="s">
        <v>68</v>
      </c>
      <c r="C470" s="5" t="s">
        <v>101</v>
      </c>
      <c r="D470" s="5" t="s">
        <v>100</v>
      </c>
    </row>
    <row r="471" spans="1:12" x14ac:dyDescent="0.35">
      <c r="A471" s="51">
        <v>2021</v>
      </c>
      <c r="B471" t="s">
        <v>31</v>
      </c>
      <c r="C471" s="1">
        <v>19593.587939287001</v>
      </c>
      <c r="D471" s="50"/>
    </row>
    <row r="472" spans="1:12" x14ac:dyDescent="0.35">
      <c r="A472" s="51">
        <v>2021</v>
      </c>
      <c r="B472" t="s">
        <v>35</v>
      </c>
      <c r="C472" s="1">
        <v>15235.023744967</v>
      </c>
      <c r="D472" s="50">
        <f t="shared" ref="D472:D499" si="5">((C472-C471)/C471)*100</f>
        <v>-22.244849732603932</v>
      </c>
    </row>
    <row r="473" spans="1:12" x14ac:dyDescent="0.35">
      <c r="A473" s="51">
        <v>2021</v>
      </c>
      <c r="B473" t="s">
        <v>36</v>
      </c>
      <c r="C473" s="1">
        <v>18260.601873827873</v>
      </c>
      <c r="D473" s="50">
        <f t="shared" si="5"/>
        <v>19.859359456924995</v>
      </c>
    </row>
    <row r="474" spans="1:12" x14ac:dyDescent="0.35">
      <c r="A474" s="51">
        <v>2021</v>
      </c>
      <c r="B474" t="s">
        <v>37</v>
      </c>
      <c r="C474" s="1">
        <v>18256.492266788002</v>
      </c>
      <c r="D474" s="50">
        <f t="shared" si="5"/>
        <v>-2.2505320844658869E-2</v>
      </c>
    </row>
    <row r="475" spans="1:12" x14ac:dyDescent="0.35">
      <c r="A475" s="51">
        <v>2021</v>
      </c>
      <c r="B475" t="s">
        <v>38</v>
      </c>
      <c r="C475" s="1">
        <v>17259.238289191999</v>
      </c>
      <c r="D475" s="50">
        <f t="shared" si="5"/>
        <v>-5.4624621368815518</v>
      </c>
    </row>
    <row r="476" spans="1:12" x14ac:dyDescent="0.35">
      <c r="A476" s="51">
        <v>2021</v>
      </c>
      <c r="B476" t="s">
        <v>39</v>
      </c>
      <c r="C476" s="1">
        <v>15904.74071692</v>
      </c>
      <c r="D476" s="50">
        <f t="shared" si="5"/>
        <v>-7.8479568424535078</v>
      </c>
    </row>
    <row r="477" spans="1:12" x14ac:dyDescent="0.35">
      <c r="A477" s="51">
        <v>2021</v>
      </c>
      <c r="B477" t="s">
        <v>40</v>
      </c>
      <c r="C477" s="1">
        <v>15021.215412387</v>
      </c>
      <c r="D477" s="50">
        <f t="shared" si="5"/>
        <v>-5.5551066204623831</v>
      </c>
    </row>
    <row r="478" spans="1:12" x14ac:dyDescent="0.35">
      <c r="A478" s="51">
        <v>2021</v>
      </c>
      <c r="B478" t="s">
        <v>41</v>
      </c>
      <c r="C478" s="1">
        <v>17386.686679644998</v>
      </c>
      <c r="D478" s="50">
        <f t="shared" si="5"/>
        <v>15.747535750717947</v>
      </c>
    </row>
    <row r="479" spans="1:12" x14ac:dyDescent="0.35">
      <c r="A479" s="51">
        <v>2021</v>
      </c>
      <c r="B479" t="s">
        <v>42</v>
      </c>
      <c r="C479" s="1">
        <v>17607.534813625</v>
      </c>
      <c r="D479" s="50">
        <f t="shared" si="5"/>
        <v>1.2702140324329532</v>
      </c>
      <c r="L479" t="s">
        <v>97</v>
      </c>
    </row>
    <row r="480" spans="1:12" x14ac:dyDescent="0.35">
      <c r="A480" s="51">
        <v>2021</v>
      </c>
      <c r="B480" t="s">
        <v>43</v>
      </c>
      <c r="C480" s="1">
        <v>17084.174631723999</v>
      </c>
      <c r="D480" s="50">
        <f t="shared" si="5"/>
        <v>-2.972364884924239</v>
      </c>
    </row>
    <row r="481" spans="1:17" x14ac:dyDescent="0.35">
      <c r="A481" s="51">
        <v>2021</v>
      </c>
      <c r="B481" t="s">
        <v>45</v>
      </c>
      <c r="C481" s="1">
        <v>18340.381595481929</v>
      </c>
      <c r="D481" s="50">
        <f t="shared" si="5"/>
        <v>7.3530445036850063</v>
      </c>
    </row>
    <row r="482" spans="1:17" x14ac:dyDescent="0.35">
      <c r="A482" s="51">
        <v>2021</v>
      </c>
      <c r="B482" t="s">
        <v>46</v>
      </c>
      <c r="C482" s="1">
        <v>19648.115803371995</v>
      </c>
      <c r="D482" s="50">
        <f t="shared" si="5"/>
        <v>7.1303544099225293</v>
      </c>
      <c r="L482" s="1"/>
      <c r="M482" s="1"/>
      <c r="N482" s="1"/>
      <c r="O482" s="1"/>
      <c r="P482" s="1"/>
      <c r="Q482" s="1"/>
    </row>
    <row r="483" spans="1:17" x14ac:dyDescent="0.35">
      <c r="A483" s="51">
        <v>2022</v>
      </c>
      <c r="B483" t="s">
        <v>31</v>
      </c>
      <c r="C483" s="1">
        <v>19253.803364503616</v>
      </c>
      <c r="D483" s="50">
        <f t="shared" si="5"/>
        <v>-2.0068715128435244</v>
      </c>
    </row>
    <row r="484" spans="1:17" x14ac:dyDescent="0.35">
      <c r="A484" s="51">
        <v>2022</v>
      </c>
      <c r="B484" t="s">
        <v>35</v>
      </c>
      <c r="C484" s="1">
        <v>17588.537024211</v>
      </c>
      <c r="D484" s="50">
        <f t="shared" si="5"/>
        <v>-8.64902538353906</v>
      </c>
    </row>
    <row r="485" spans="1:17" x14ac:dyDescent="0.35">
      <c r="A485" s="51">
        <v>2022</v>
      </c>
      <c r="B485" t="s">
        <v>36</v>
      </c>
      <c r="C485" s="1">
        <v>19030.701838389999</v>
      </c>
      <c r="D485" s="50">
        <f t="shared" si="5"/>
        <v>8.199458614402257</v>
      </c>
    </row>
    <row r="486" spans="1:17" x14ac:dyDescent="0.35">
      <c r="A486" s="51">
        <v>2022</v>
      </c>
      <c r="B486" t="s">
        <v>37</v>
      </c>
      <c r="C486" s="1">
        <v>21626.169696185003</v>
      </c>
      <c r="D486" s="50">
        <f t="shared" si="5"/>
        <v>13.63831917412133</v>
      </c>
    </row>
    <row r="487" spans="1:17" x14ac:dyDescent="0.35">
      <c r="A487" s="51">
        <v>2022</v>
      </c>
      <c r="B487" t="s">
        <v>38</v>
      </c>
      <c r="C487" s="1">
        <v>19644.253621534997</v>
      </c>
      <c r="D487" s="50">
        <f t="shared" si="5"/>
        <v>-9.1644341207570772</v>
      </c>
    </row>
    <row r="488" spans="1:17" x14ac:dyDescent="0.35">
      <c r="A488" s="51">
        <v>2022</v>
      </c>
      <c r="B488" t="s">
        <v>39</v>
      </c>
      <c r="C488" s="1">
        <v>19209.652005542004</v>
      </c>
      <c r="D488" s="50">
        <f t="shared" si="5"/>
        <v>-2.2123600334530478</v>
      </c>
    </row>
    <row r="489" spans="1:17" x14ac:dyDescent="0.35">
      <c r="A489" s="51">
        <v>2022</v>
      </c>
      <c r="B489" t="s">
        <v>40</v>
      </c>
      <c r="C489" s="1">
        <v>20624.253959481997</v>
      </c>
      <c r="D489" s="50">
        <f t="shared" si="5"/>
        <v>7.3640165554892878</v>
      </c>
    </row>
    <row r="490" spans="1:17" x14ac:dyDescent="0.35">
      <c r="A490" s="51">
        <v>2022</v>
      </c>
      <c r="B490" t="s">
        <v>41</v>
      </c>
      <c r="C490" s="1">
        <v>17637.212315264998</v>
      </c>
      <c r="D490" s="50">
        <f t="shared" si="5"/>
        <v>-14.483150033379545</v>
      </c>
    </row>
    <row r="491" spans="1:17" x14ac:dyDescent="0.35">
      <c r="A491" s="51">
        <v>2022</v>
      </c>
      <c r="B491" t="s">
        <v>42</v>
      </c>
      <c r="C491" s="1">
        <v>16772.209972765002</v>
      </c>
      <c r="D491" s="50">
        <f t="shared" si="5"/>
        <v>-4.9044164522039413</v>
      </c>
    </row>
    <row r="492" spans="1:17" x14ac:dyDescent="0.35">
      <c r="A492" s="51">
        <v>2022</v>
      </c>
      <c r="B492" t="s">
        <v>43</v>
      </c>
      <c r="C492" s="1">
        <v>18123.446675544998</v>
      </c>
      <c r="D492" s="50">
        <f t="shared" si="5"/>
        <v>8.0564022569128131</v>
      </c>
    </row>
    <row r="493" spans="1:17" x14ac:dyDescent="0.35">
      <c r="A493" s="51">
        <v>2022</v>
      </c>
      <c r="B493" t="s">
        <v>45</v>
      </c>
      <c r="C493" s="1">
        <v>19003.280854934001</v>
      </c>
      <c r="D493" s="50">
        <f t="shared" si="5"/>
        <v>4.8546735901853237</v>
      </c>
    </row>
    <row r="494" spans="1:17" x14ac:dyDescent="0.35">
      <c r="A494" s="51">
        <v>2022</v>
      </c>
      <c r="B494" t="s">
        <v>46</v>
      </c>
      <c r="C494" s="1">
        <v>19617.709583499</v>
      </c>
      <c r="D494" s="50">
        <f t="shared" si="5"/>
        <v>3.2332771022824143</v>
      </c>
    </row>
    <row r="495" spans="1:17" x14ac:dyDescent="0.35">
      <c r="A495" s="51">
        <v>2023</v>
      </c>
      <c r="B495" t="s">
        <v>31</v>
      </c>
      <c r="C495" s="1">
        <v>20229.309738625001</v>
      </c>
      <c r="D495" s="50">
        <f t="shared" si="5"/>
        <v>3.1175920538676714</v>
      </c>
    </row>
    <row r="496" spans="1:17" x14ac:dyDescent="0.35">
      <c r="A496" s="51">
        <v>2023</v>
      </c>
      <c r="B496" t="s">
        <v>35</v>
      </c>
      <c r="C496" s="1">
        <v>19284.873472954998</v>
      </c>
      <c r="D496" s="50">
        <f t="shared" si="5"/>
        <v>-4.6686529489769786</v>
      </c>
    </row>
    <row r="497" spans="1:13" x14ac:dyDescent="0.35">
      <c r="A497" s="51">
        <v>2023</v>
      </c>
      <c r="B497" t="s">
        <v>36</v>
      </c>
      <c r="C497" s="1">
        <v>20928.040082494001</v>
      </c>
      <c r="D497" s="50">
        <f t="shared" si="5"/>
        <v>8.5204946345298591</v>
      </c>
    </row>
    <row r="498" spans="1:13" x14ac:dyDescent="0.35">
      <c r="A498" s="51">
        <v>2023</v>
      </c>
      <c r="B498" t="s">
        <v>37</v>
      </c>
      <c r="C498" s="1">
        <v>19996.877330259998</v>
      </c>
      <c r="D498" s="50">
        <f t="shared" si="5"/>
        <v>-4.4493547822134873</v>
      </c>
    </row>
    <row r="499" spans="1:13" x14ac:dyDescent="0.35">
      <c r="A499" s="51">
        <v>2023</v>
      </c>
      <c r="B499" s="51" t="s">
        <v>38</v>
      </c>
      <c r="C499" s="50">
        <v>20705.224408843998</v>
      </c>
      <c r="D499" s="50">
        <f t="shared" si="5"/>
        <v>3.542288462769652</v>
      </c>
    </row>
    <row r="504" spans="1:13" x14ac:dyDescent="0.35">
      <c r="A504" s="35" t="s">
        <v>103</v>
      </c>
      <c r="B504" s="35"/>
      <c r="C504" s="35"/>
    </row>
    <row r="505" spans="1:13" x14ac:dyDescent="0.35">
      <c r="A505" t="s">
        <v>63</v>
      </c>
      <c r="B505" t="s">
        <v>31</v>
      </c>
      <c r="C505" t="s">
        <v>35</v>
      </c>
      <c r="D505" t="s">
        <v>36</v>
      </c>
      <c r="E505" t="s">
        <v>37</v>
      </c>
      <c r="F505" t="s">
        <v>38</v>
      </c>
      <c r="G505" t="s">
        <v>39</v>
      </c>
      <c r="H505" t="s">
        <v>40</v>
      </c>
      <c r="I505" t="s">
        <v>41</v>
      </c>
      <c r="J505" t="s">
        <v>42</v>
      </c>
      <c r="K505" t="s">
        <v>43</v>
      </c>
      <c r="L505" t="s">
        <v>45</v>
      </c>
      <c r="M505" t="s">
        <v>46</v>
      </c>
    </row>
    <row r="506" spans="1:13" hidden="1" x14ac:dyDescent="0.35">
      <c r="A506">
        <v>2021</v>
      </c>
      <c r="B506" s="1">
        <v>-4.3721169003964215</v>
      </c>
      <c r="C506" s="1">
        <v>-22.244849732603932</v>
      </c>
      <c r="D506" s="1">
        <v>19.859359456924995</v>
      </c>
      <c r="E506" s="1">
        <v>-2.2505320844658869E-2</v>
      </c>
      <c r="F506" s="1">
        <v>-5.4624621368815518</v>
      </c>
      <c r="G506" s="1">
        <v>-7.8479568424535078</v>
      </c>
      <c r="H506" s="1">
        <v>-5.5551066204623831</v>
      </c>
      <c r="I506" s="1">
        <v>15.747535750717947</v>
      </c>
      <c r="J506" s="1">
        <v>1.2702140324329532</v>
      </c>
      <c r="K506" s="1">
        <v>-2.972364884924239</v>
      </c>
      <c r="L506" s="1">
        <v>7.3530445036850063</v>
      </c>
      <c r="M506" s="1">
        <v>7.1303544099225293</v>
      </c>
    </row>
    <row r="507" spans="1:13" x14ac:dyDescent="0.35">
      <c r="A507">
        <v>2022</v>
      </c>
      <c r="B507" s="1">
        <v>-2.0068715128435244</v>
      </c>
      <c r="C507" s="1">
        <v>-8.64902538353906</v>
      </c>
      <c r="D507" s="1">
        <v>8.199458614402257</v>
      </c>
      <c r="E507" s="1">
        <v>13.63831917412133</v>
      </c>
      <c r="F507" s="1">
        <v>-9.1644341207570772</v>
      </c>
      <c r="G507" s="1">
        <v>-2.2123600334530478</v>
      </c>
      <c r="H507" s="1">
        <v>7.3640165554892878</v>
      </c>
      <c r="I507" s="1">
        <v>-14.483150033379545</v>
      </c>
      <c r="J507" s="1">
        <v>-4.9044164522039413</v>
      </c>
      <c r="K507" s="1">
        <v>8.0564022569128131</v>
      </c>
      <c r="L507" s="1">
        <v>4.8546735901853237</v>
      </c>
      <c r="M507" s="1">
        <v>3.2332771022824143</v>
      </c>
    </row>
    <row r="508" spans="1:13" hidden="1" x14ac:dyDescent="0.35">
      <c r="A508">
        <v>2023</v>
      </c>
      <c r="B508" s="1">
        <v>3.1175920538676714</v>
      </c>
      <c r="C508" s="1">
        <v>-4.6686529489769786</v>
      </c>
      <c r="D508" s="1">
        <v>8.5204946345298591</v>
      </c>
      <c r="E508" s="1">
        <v>-4.4493547822134873</v>
      </c>
      <c r="F508" s="1">
        <v>3.542288462769652</v>
      </c>
      <c r="G508" s="1"/>
      <c r="H508" s="1"/>
      <c r="I508" s="1"/>
      <c r="J508" s="1"/>
      <c r="K508" s="1"/>
      <c r="L508" s="1"/>
      <c r="M508" s="1"/>
    </row>
    <row r="528" spans="1:1" x14ac:dyDescent="0.35">
      <c r="A528" t="s">
        <v>97</v>
      </c>
    </row>
    <row r="539" spans="1:25" hidden="1" x14ac:dyDescent="0.35">
      <c r="A539" t="s">
        <v>63</v>
      </c>
      <c r="B539" t="s">
        <v>77</v>
      </c>
      <c r="C539" t="s">
        <v>69</v>
      </c>
      <c r="D539" t="s">
        <v>70</v>
      </c>
      <c r="E539" t="s">
        <v>71</v>
      </c>
      <c r="F539" t="s">
        <v>72</v>
      </c>
      <c r="G539" t="s">
        <v>73</v>
      </c>
      <c r="H539" t="s">
        <v>74</v>
      </c>
      <c r="I539" t="s">
        <v>75</v>
      </c>
      <c r="J539" t="s">
        <v>78</v>
      </c>
      <c r="K539" t="s">
        <v>79</v>
      </c>
      <c r="L539" t="s">
        <v>80</v>
      </c>
      <c r="M539" t="s">
        <v>81</v>
      </c>
      <c r="N539" t="s">
        <v>82</v>
      </c>
      <c r="O539" t="s">
        <v>83</v>
      </c>
      <c r="P539" t="s">
        <v>84</v>
      </c>
      <c r="Q539" t="s">
        <v>85</v>
      </c>
      <c r="R539" t="s">
        <v>86</v>
      </c>
      <c r="S539" t="s">
        <v>87</v>
      </c>
      <c r="T539" t="s">
        <v>88</v>
      </c>
      <c r="U539" t="s">
        <v>89</v>
      </c>
      <c r="V539" t="s">
        <v>90</v>
      </c>
      <c r="W539" t="s">
        <v>91</v>
      </c>
      <c r="X539" t="s">
        <v>92</v>
      </c>
      <c r="Y539" t="s">
        <v>93</v>
      </c>
    </row>
    <row r="540" spans="1:25" hidden="1" x14ac:dyDescent="0.35">
      <c r="A540" t="s">
        <v>76</v>
      </c>
      <c r="B540" t="s">
        <v>31</v>
      </c>
      <c r="C540" t="s">
        <v>35</v>
      </c>
      <c r="D540" t="s">
        <v>36</v>
      </c>
      <c r="E540" t="s">
        <v>37</v>
      </c>
      <c r="F540" t="s">
        <v>38</v>
      </c>
      <c r="G540" t="s">
        <v>39</v>
      </c>
      <c r="H540" t="s">
        <v>40</v>
      </c>
      <c r="I540" t="s">
        <v>41</v>
      </c>
      <c r="J540" t="s">
        <v>42</v>
      </c>
      <c r="K540" t="s">
        <v>43</v>
      </c>
      <c r="L540" t="s">
        <v>45</v>
      </c>
      <c r="M540" t="s">
        <v>46</v>
      </c>
      <c r="N540" t="s">
        <v>31</v>
      </c>
      <c r="O540" t="s">
        <v>35</v>
      </c>
      <c r="P540" t="s">
        <v>36</v>
      </c>
      <c r="Q540" t="s">
        <v>37</v>
      </c>
      <c r="R540" t="s">
        <v>38</v>
      </c>
      <c r="S540" t="s">
        <v>39</v>
      </c>
      <c r="T540" t="s">
        <v>40</v>
      </c>
      <c r="U540" t="s">
        <v>41</v>
      </c>
      <c r="V540" t="s">
        <v>42</v>
      </c>
      <c r="W540" t="s">
        <v>43</v>
      </c>
      <c r="X540" t="s">
        <v>45</v>
      </c>
      <c r="Y540" t="s">
        <v>46</v>
      </c>
    </row>
    <row r="541" spans="1:25" hidden="1" x14ac:dyDescent="0.35">
      <c r="A541" t="s">
        <v>62</v>
      </c>
      <c r="B541" s="1">
        <v>159.97948717948719</v>
      </c>
      <c r="C541" s="1">
        <v>157.19487179487183</v>
      </c>
      <c r="D541" s="1">
        <v>157.16923076923078</v>
      </c>
      <c r="E541" s="1">
        <v>159.05641025641029</v>
      </c>
      <c r="F541" s="1">
        <v>162.19743589743592</v>
      </c>
      <c r="G541" s="1">
        <v>164.37692307692308</v>
      </c>
      <c r="H541" s="1">
        <v>165.41538461538462</v>
      </c>
      <c r="I541" s="1">
        <v>164.88974358974363</v>
      </c>
      <c r="J541" s="1">
        <v>164.96153846153845</v>
      </c>
      <c r="K541" s="1">
        <v>167.64358974358973</v>
      </c>
      <c r="L541" s="1">
        <v>169.07692307692307</v>
      </c>
      <c r="M541" s="1">
        <v>168.08717948717947</v>
      </c>
      <c r="N541" s="1">
        <v>166.76666666666668</v>
      </c>
      <c r="O541" s="1">
        <v>166.54102564102564</v>
      </c>
      <c r="P541" s="1">
        <v>168.1948717948718</v>
      </c>
      <c r="Q541" s="1">
        <v>170.54615384615383</v>
      </c>
      <c r="R541" s="1">
        <v>172.51025641025643</v>
      </c>
      <c r="S541" s="1">
        <v>174.3</v>
      </c>
      <c r="T541" s="1">
        <v>174.62564102564102</v>
      </c>
      <c r="U541" s="1">
        <v>174.83846153846156</v>
      </c>
      <c r="V541" s="1">
        <v>175.77179487179487</v>
      </c>
      <c r="W541" s="1">
        <v>177.02820512820512</v>
      </c>
      <c r="X541" s="1">
        <v>176.89487179487179</v>
      </c>
      <c r="Y541" s="1">
        <v>175.80256410256411</v>
      </c>
    </row>
    <row r="542" spans="1:25" hidden="1" x14ac:dyDescent="0.35">
      <c r="A542" t="s">
        <v>20</v>
      </c>
      <c r="B542" s="1">
        <v>157.69999999999999</v>
      </c>
      <c r="C542" s="1">
        <v>159.80000000000001</v>
      </c>
      <c r="D542" s="1">
        <v>159.9</v>
      </c>
      <c r="E542" s="1">
        <v>161.4</v>
      </c>
      <c r="F542" s="1">
        <v>161.6</v>
      </c>
      <c r="G542" s="1">
        <v>160.5</v>
      </c>
      <c r="H542" s="1">
        <v>161.5</v>
      </c>
      <c r="I542" s="1">
        <v>162.1</v>
      </c>
      <c r="J542" s="1">
        <v>162.1</v>
      </c>
      <c r="K542" s="1">
        <v>163.6</v>
      </c>
      <c r="L542" s="1">
        <v>164.2</v>
      </c>
      <c r="M542" s="1">
        <v>163.4</v>
      </c>
      <c r="N542" s="1">
        <v>164.5</v>
      </c>
      <c r="O542" s="1">
        <v>165.5</v>
      </c>
      <c r="P542" s="1">
        <v>165.3</v>
      </c>
      <c r="Q542" s="1">
        <v>167</v>
      </c>
      <c r="R542" s="1">
        <v>167.5</v>
      </c>
      <c r="S542" s="1">
        <v>166.8</v>
      </c>
      <c r="T542" s="1">
        <v>167.8</v>
      </c>
      <c r="U542" s="1">
        <v>169</v>
      </c>
      <c r="V542" s="1">
        <v>169.5</v>
      </c>
      <c r="W542" s="1">
        <v>171.2</v>
      </c>
      <c r="X542" s="1">
        <v>171.8</v>
      </c>
      <c r="Y542" s="1">
        <v>170.7</v>
      </c>
    </row>
    <row r="543" spans="1:25" hidden="1" x14ac:dyDescent="0.35">
      <c r="A543" t="s">
        <v>21</v>
      </c>
      <c r="B543" s="1">
        <v>147.9</v>
      </c>
      <c r="C543" s="1">
        <v>152.4</v>
      </c>
      <c r="D543" s="1">
        <v>155.5</v>
      </c>
      <c r="E543" s="1">
        <v>155.6</v>
      </c>
      <c r="F543" s="1">
        <v>159.4</v>
      </c>
      <c r="G543" s="1">
        <v>159.80000000000001</v>
      </c>
      <c r="H543" s="1">
        <v>160.69999999999999</v>
      </c>
      <c r="I543" s="1">
        <v>162.6</v>
      </c>
      <c r="J543" s="1">
        <v>162.6</v>
      </c>
      <c r="K543" s="1">
        <v>164.2</v>
      </c>
      <c r="L543" s="1">
        <v>163.9</v>
      </c>
      <c r="M543" s="1">
        <v>164.1</v>
      </c>
      <c r="N543" s="1">
        <v>164.2</v>
      </c>
      <c r="O543" s="1">
        <v>165.7</v>
      </c>
      <c r="P543" s="1">
        <v>167.2</v>
      </c>
      <c r="Q543" s="1">
        <v>172.2</v>
      </c>
      <c r="R543" s="1">
        <v>174.6</v>
      </c>
      <c r="S543" s="1">
        <v>176</v>
      </c>
      <c r="T543" s="1">
        <v>179.6</v>
      </c>
      <c r="U543" s="1">
        <v>178.8</v>
      </c>
      <c r="V543" s="1">
        <v>179.5</v>
      </c>
      <c r="W543" s="1">
        <v>180.5</v>
      </c>
      <c r="X543" s="1">
        <v>181.3</v>
      </c>
      <c r="Y543" s="1">
        <v>182</v>
      </c>
    </row>
    <row r="544" spans="1:25" hidden="1" x14ac:dyDescent="0.35">
      <c r="A544" t="s">
        <v>16</v>
      </c>
      <c r="B544" s="1">
        <v>186.5</v>
      </c>
      <c r="C544" s="1">
        <v>188.3</v>
      </c>
      <c r="D544" s="1">
        <v>188.1</v>
      </c>
      <c r="E544" s="1">
        <v>188.8</v>
      </c>
      <c r="F544" s="1">
        <v>191.9</v>
      </c>
      <c r="G544" s="1">
        <v>190.8</v>
      </c>
      <c r="H544" s="1">
        <v>191.2</v>
      </c>
      <c r="I544" s="1">
        <v>192.1</v>
      </c>
      <c r="J544" s="1">
        <v>192.1</v>
      </c>
      <c r="K544" s="1">
        <v>192.7</v>
      </c>
      <c r="L544" s="1">
        <v>192.9</v>
      </c>
      <c r="M544" s="1">
        <v>192.4</v>
      </c>
      <c r="N544" s="1">
        <v>192.2</v>
      </c>
      <c r="O544" s="1">
        <v>192.8</v>
      </c>
      <c r="P544" s="1">
        <v>193.7</v>
      </c>
      <c r="Q544" s="1">
        <v>193.9</v>
      </c>
      <c r="R544" s="1">
        <v>194.1</v>
      </c>
      <c r="S544" s="1">
        <v>194.3</v>
      </c>
      <c r="T544" s="1">
        <v>194.6</v>
      </c>
      <c r="U544" s="1">
        <v>195</v>
      </c>
      <c r="V544" s="1">
        <v>195.9</v>
      </c>
      <c r="W544" s="1">
        <v>196.3</v>
      </c>
      <c r="X544" s="1">
        <v>196.9</v>
      </c>
      <c r="Y544" s="1">
        <v>197.3</v>
      </c>
    </row>
    <row r="545" spans="1:25" hidden="1" x14ac:dyDescent="0.35">
      <c r="A545" t="s">
        <v>51</v>
      </c>
      <c r="B545" s="1">
        <v>151.93333333333334</v>
      </c>
      <c r="C545" s="1">
        <v>153.46666666666667</v>
      </c>
      <c r="D545" s="1">
        <v>154.03333333333333</v>
      </c>
      <c r="E545" s="1">
        <v>154.86666666666667</v>
      </c>
      <c r="F545" s="1">
        <v>158.1</v>
      </c>
      <c r="G545" s="1">
        <v>158.23333333333332</v>
      </c>
      <c r="H545" s="1">
        <v>159.1</v>
      </c>
      <c r="I545" s="1">
        <v>161</v>
      </c>
      <c r="J545" s="1">
        <v>161.06666666666666</v>
      </c>
      <c r="K545" s="1">
        <v>162.1</v>
      </c>
      <c r="L545" s="1">
        <v>163.46666666666667</v>
      </c>
      <c r="M545" s="1">
        <v>164.73333333333332</v>
      </c>
      <c r="N545" s="1">
        <v>166.36666666666667</v>
      </c>
      <c r="O545" s="1">
        <v>167.60000000000002</v>
      </c>
      <c r="P545" s="1">
        <v>169.26666666666665</v>
      </c>
      <c r="Q545" s="1">
        <v>171.06666666666669</v>
      </c>
      <c r="R545" s="1">
        <v>172.86666666666667</v>
      </c>
      <c r="S545" s="1">
        <v>174.33333333333334</v>
      </c>
      <c r="T545" s="1">
        <v>175.63333333333335</v>
      </c>
      <c r="U545" s="1">
        <v>176.9</v>
      </c>
      <c r="V545" s="1">
        <v>178.36666666666667</v>
      </c>
      <c r="W545" s="1">
        <v>179.4</v>
      </c>
      <c r="X545" s="1">
        <v>180.46666666666667</v>
      </c>
      <c r="Y545" s="1">
        <v>181.33333333333334</v>
      </c>
    </row>
    <row r="546" spans="1:25" hidden="1" x14ac:dyDescent="0.35">
      <c r="A546" t="s">
        <v>28</v>
      </c>
      <c r="B546" s="1">
        <v>152.67142857142858</v>
      </c>
      <c r="C546" s="1">
        <v>153.92857142857147</v>
      </c>
      <c r="D546" s="1">
        <v>154.21428571428569</v>
      </c>
      <c r="E546" s="1">
        <v>154.85714285714286</v>
      </c>
      <c r="F546" s="1">
        <v>157.40000000000003</v>
      </c>
      <c r="G546" s="1">
        <v>157.82857142857142</v>
      </c>
      <c r="H546" s="1">
        <v>159.07142857142858</v>
      </c>
      <c r="I546" s="1">
        <v>160.18571428571428</v>
      </c>
      <c r="J546" s="1">
        <v>160.18571428571428</v>
      </c>
      <c r="K546" s="1">
        <v>161.07142857142858</v>
      </c>
      <c r="L546" s="1">
        <v>161.67142857142861</v>
      </c>
      <c r="M546" s="1">
        <v>162.29999999999998</v>
      </c>
      <c r="N546" s="1">
        <v>162.94285714285715</v>
      </c>
      <c r="O546" s="1">
        <v>163.75714285714284</v>
      </c>
      <c r="P546" s="1">
        <v>164.97142857142856</v>
      </c>
      <c r="Q546" s="1">
        <v>166.78571428571428</v>
      </c>
      <c r="R546" s="1">
        <v>167.41428571428574</v>
      </c>
      <c r="S546" s="1">
        <v>167.79999999999998</v>
      </c>
      <c r="T546" s="1">
        <v>168.70000000000002</v>
      </c>
      <c r="U546" s="1">
        <v>169.52857142857144</v>
      </c>
      <c r="V546" s="1">
        <v>170.12857142857143</v>
      </c>
      <c r="W546" s="1">
        <v>170.8857142857143</v>
      </c>
      <c r="X546" s="1">
        <v>171.58571428571426</v>
      </c>
      <c r="Y546" s="1">
        <v>172.48571428571429</v>
      </c>
    </row>
    <row r="547" spans="1:25" x14ac:dyDescent="0.35">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x14ac:dyDescent="0.35">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x14ac:dyDescent="0.35">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x14ac:dyDescent="0.35">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x14ac:dyDescent="0.35">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x14ac:dyDescent="0.35">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x14ac:dyDescent="0.35">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x14ac:dyDescent="0.35">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x14ac:dyDescent="0.35">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x14ac:dyDescent="0.35">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x14ac:dyDescent="0.35">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x14ac:dyDescent="0.35">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x14ac:dyDescent="0.35">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x14ac:dyDescent="0.35">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9" x14ac:dyDescent="0.35">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9" x14ac:dyDescent="0.35">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9" x14ac:dyDescent="0.35">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9" x14ac:dyDescent="0.35">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9" x14ac:dyDescent="0.35">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9" x14ac:dyDescent="0.35">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9" x14ac:dyDescent="0.35">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9" x14ac:dyDescent="0.35">
      <c r="A568" s="35" t="s">
        <v>114</v>
      </c>
      <c r="B568" s="35"/>
      <c r="C568" s="35"/>
      <c r="D568" s="35"/>
      <c r="E568" s="35"/>
      <c r="F568" s="35"/>
      <c r="G568" s="1"/>
      <c r="H568" s="1"/>
      <c r="I568" s="1"/>
      <c r="J568" s="63"/>
      <c r="K568" s="63"/>
      <c r="L568" s="63"/>
      <c r="M568" s="63"/>
      <c r="N568" s="63"/>
      <c r="O568" s="63"/>
      <c r="P568" s="1"/>
      <c r="Q568" s="1"/>
      <c r="R568" s="1"/>
      <c r="S568" s="1"/>
      <c r="T568" s="1"/>
      <c r="U568" s="1"/>
      <c r="V568" s="1"/>
      <c r="W568" s="1"/>
      <c r="X568" s="1"/>
      <c r="Y568" s="1"/>
    </row>
    <row r="569" spans="1:29" x14ac:dyDescent="0.35">
      <c r="A569" t="s">
        <v>0</v>
      </c>
      <c r="B569" t="s">
        <v>1</v>
      </c>
      <c r="C569" t="s">
        <v>2</v>
      </c>
      <c r="D569" t="s">
        <v>3</v>
      </c>
      <c r="E569" t="s">
        <v>4</v>
      </c>
      <c r="F569" t="s">
        <v>5</v>
      </c>
      <c r="G569" t="s">
        <v>6</v>
      </c>
      <c r="H569" t="s">
        <v>7</v>
      </c>
      <c r="I569" t="s">
        <v>8</v>
      </c>
      <c r="J569" t="s">
        <v>9</v>
      </c>
      <c r="K569" t="s">
        <v>10</v>
      </c>
      <c r="L569" t="s">
        <v>11</v>
      </c>
      <c r="M569" t="s">
        <v>12</v>
      </c>
      <c r="N569" t="s">
        <v>13</v>
      </c>
      <c r="O569" t="s">
        <v>14</v>
      </c>
      <c r="P569" t="s">
        <v>15</v>
      </c>
      <c r="Q569" t="s">
        <v>16</v>
      </c>
      <c r="R569" t="s">
        <v>17</v>
      </c>
      <c r="S569" t="s">
        <v>18</v>
      </c>
      <c r="T569" t="s">
        <v>19</v>
      </c>
      <c r="U569" t="s">
        <v>20</v>
      </c>
      <c r="V569" t="s">
        <v>21</v>
      </c>
      <c r="W569" t="s">
        <v>22</v>
      </c>
      <c r="X569" t="s">
        <v>23</v>
      </c>
      <c r="Y569" t="s">
        <v>24</v>
      </c>
      <c r="Z569" t="s">
        <v>25</v>
      </c>
      <c r="AA569" t="s">
        <v>26</v>
      </c>
      <c r="AB569" t="s">
        <v>27</v>
      </c>
      <c r="AC569" t="s">
        <v>28</v>
      </c>
    </row>
    <row r="570" spans="1:29" x14ac:dyDescent="0.35">
      <c r="A570" t="s">
        <v>34</v>
      </c>
      <c r="B570">
        <v>2021</v>
      </c>
      <c r="C570" t="s">
        <v>31</v>
      </c>
      <c r="D570">
        <v>144.9</v>
      </c>
      <c r="E570">
        <v>190.1</v>
      </c>
      <c r="F570">
        <v>175.3</v>
      </c>
      <c r="G570">
        <v>154.1</v>
      </c>
      <c r="H570">
        <v>150.9</v>
      </c>
      <c r="I570">
        <v>149.6</v>
      </c>
      <c r="J570">
        <v>194.2</v>
      </c>
      <c r="K570">
        <v>160.4</v>
      </c>
      <c r="L570">
        <v>114.6</v>
      </c>
      <c r="M570">
        <v>164</v>
      </c>
      <c r="N570">
        <v>151.80000000000001</v>
      </c>
      <c r="O570">
        <v>165.6</v>
      </c>
      <c r="P570">
        <v>161</v>
      </c>
      <c r="Q570">
        <v>186.5</v>
      </c>
      <c r="R570">
        <v>155.5</v>
      </c>
      <c r="S570">
        <v>146.1</v>
      </c>
      <c r="T570">
        <v>154.19999999999999</v>
      </c>
      <c r="U570">
        <v>157.69999999999999</v>
      </c>
      <c r="V570">
        <v>147.9</v>
      </c>
      <c r="W570">
        <v>150</v>
      </c>
      <c r="X570">
        <v>159.30000000000001</v>
      </c>
      <c r="Y570">
        <v>141.9</v>
      </c>
      <c r="Z570">
        <v>149.6</v>
      </c>
      <c r="AA570">
        <v>159.19999999999999</v>
      </c>
      <c r="AB570">
        <v>156.80000000000001</v>
      </c>
      <c r="AC570">
        <v>151.9</v>
      </c>
    </row>
    <row r="571" spans="1:29" x14ac:dyDescent="0.35">
      <c r="A571" t="s">
        <v>34</v>
      </c>
      <c r="B571">
        <v>2021</v>
      </c>
      <c r="C571" t="s">
        <v>35</v>
      </c>
      <c r="D571">
        <v>144.30000000000001</v>
      </c>
      <c r="E571">
        <v>186.5</v>
      </c>
      <c r="F571">
        <v>168.7</v>
      </c>
      <c r="G571">
        <v>154.69999999999999</v>
      </c>
      <c r="H571">
        <v>158.69999999999999</v>
      </c>
      <c r="I571">
        <v>150.69999999999999</v>
      </c>
      <c r="J571">
        <v>160</v>
      </c>
      <c r="K571">
        <v>158.80000000000001</v>
      </c>
      <c r="L571">
        <v>112.8</v>
      </c>
      <c r="M571">
        <v>164.2</v>
      </c>
      <c r="N571">
        <v>155.5</v>
      </c>
      <c r="O571">
        <v>167.5</v>
      </c>
      <c r="P571">
        <v>156.9</v>
      </c>
      <c r="Q571">
        <v>188.3</v>
      </c>
      <c r="R571">
        <v>157.19999999999999</v>
      </c>
      <c r="S571">
        <v>147.4</v>
      </c>
      <c r="T571">
        <v>155.80000000000001</v>
      </c>
      <c r="U571">
        <v>159.80000000000001</v>
      </c>
      <c r="V571">
        <v>152.4</v>
      </c>
      <c r="W571">
        <v>150.9</v>
      </c>
      <c r="X571">
        <v>161.30000000000001</v>
      </c>
      <c r="Y571">
        <v>145.1</v>
      </c>
      <c r="Z571">
        <v>151.5</v>
      </c>
      <c r="AA571">
        <v>159.5</v>
      </c>
      <c r="AB571">
        <v>155.80000000000001</v>
      </c>
      <c r="AC571">
        <v>153.4</v>
      </c>
    </row>
    <row r="572" spans="1:29" x14ac:dyDescent="0.35">
      <c r="A572" t="s">
        <v>34</v>
      </c>
      <c r="B572">
        <v>2021</v>
      </c>
      <c r="C572" t="s">
        <v>36</v>
      </c>
      <c r="D572">
        <v>144.1</v>
      </c>
      <c r="E572">
        <v>192.2</v>
      </c>
      <c r="F572">
        <v>163.80000000000001</v>
      </c>
      <c r="G572">
        <v>154.9</v>
      </c>
      <c r="H572">
        <v>163.9</v>
      </c>
      <c r="I572">
        <v>153.69999999999999</v>
      </c>
      <c r="J572">
        <v>149.5</v>
      </c>
      <c r="K572">
        <v>159.80000000000001</v>
      </c>
      <c r="L572">
        <v>112.6</v>
      </c>
      <c r="M572">
        <v>163.5</v>
      </c>
      <c r="N572">
        <v>156.5</v>
      </c>
      <c r="O572">
        <v>168.2</v>
      </c>
      <c r="P572">
        <v>156.69999999999999</v>
      </c>
      <c r="Q572">
        <v>188.1</v>
      </c>
      <c r="R572">
        <v>157.80000000000001</v>
      </c>
      <c r="S572">
        <v>147.9</v>
      </c>
      <c r="T572">
        <v>156.4</v>
      </c>
      <c r="U572">
        <v>159.9</v>
      </c>
      <c r="V572">
        <v>155.5</v>
      </c>
      <c r="W572">
        <v>151.19999999999999</v>
      </c>
      <c r="X572">
        <v>161.69999999999999</v>
      </c>
      <c r="Y572">
        <v>146.19999999999999</v>
      </c>
      <c r="Z572">
        <v>152.6</v>
      </c>
      <c r="AA572">
        <v>160.19999999999999</v>
      </c>
      <c r="AB572">
        <v>153.80000000000001</v>
      </c>
      <c r="AC572">
        <v>153.80000000000001</v>
      </c>
    </row>
    <row r="573" spans="1:29" x14ac:dyDescent="0.35">
      <c r="A573" t="s">
        <v>34</v>
      </c>
      <c r="B573">
        <v>2021</v>
      </c>
      <c r="C573" t="s">
        <v>37</v>
      </c>
      <c r="D573">
        <v>144.30000000000001</v>
      </c>
      <c r="E573">
        <v>198</v>
      </c>
      <c r="F573">
        <v>164.6</v>
      </c>
      <c r="G573">
        <v>155.4</v>
      </c>
      <c r="H573">
        <v>170.1</v>
      </c>
      <c r="I573">
        <v>164.4</v>
      </c>
      <c r="J573">
        <v>144.1</v>
      </c>
      <c r="K573">
        <v>161.69999999999999</v>
      </c>
      <c r="L573">
        <v>113.1</v>
      </c>
      <c r="M573">
        <v>163.9</v>
      </c>
      <c r="N573">
        <v>157.6</v>
      </c>
      <c r="O573">
        <v>168.9</v>
      </c>
      <c r="P573">
        <v>158</v>
      </c>
      <c r="Q573">
        <v>188.8</v>
      </c>
      <c r="R573">
        <v>158.80000000000001</v>
      </c>
      <c r="S573">
        <v>148.5</v>
      </c>
      <c r="T573">
        <v>157.30000000000001</v>
      </c>
      <c r="U573">
        <v>161.4</v>
      </c>
      <c r="V573">
        <v>155.6</v>
      </c>
      <c r="W573">
        <v>151.80000000000001</v>
      </c>
      <c r="X573">
        <v>162.30000000000001</v>
      </c>
      <c r="Y573">
        <v>146.6</v>
      </c>
      <c r="Z573">
        <v>153.19999999999999</v>
      </c>
      <c r="AA573">
        <v>160.30000000000001</v>
      </c>
      <c r="AB573">
        <v>155.4</v>
      </c>
      <c r="AC573">
        <v>154.4</v>
      </c>
    </row>
    <row r="574" spans="1:29" x14ac:dyDescent="0.35">
      <c r="A574" t="s">
        <v>34</v>
      </c>
      <c r="B574">
        <v>2021</v>
      </c>
      <c r="C574" t="s">
        <v>38</v>
      </c>
      <c r="D574">
        <v>146.30000000000001</v>
      </c>
      <c r="E574">
        <v>200.5</v>
      </c>
      <c r="F574">
        <v>170.3</v>
      </c>
      <c r="G574">
        <v>156.1</v>
      </c>
      <c r="H574">
        <v>178.7</v>
      </c>
      <c r="I574">
        <v>167.1</v>
      </c>
      <c r="J574">
        <v>147.9</v>
      </c>
      <c r="K574">
        <v>165.4</v>
      </c>
      <c r="L574">
        <v>114.8</v>
      </c>
      <c r="M574">
        <v>168.2</v>
      </c>
      <c r="N574">
        <v>159.30000000000001</v>
      </c>
      <c r="O574">
        <v>170.4</v>
      </c>
      <c r="P574">
        <v>160.69999999999999</v>
      </c>
      <c r="Q574">
        <v>191.9</v>
      </c>
      <c r="R574">
        <v>161.80000000000001</v>
      </c>
      <c r="S574">
        <v>152.1</v>
      </c>
      <c r="T574">
        <v>160.4</v>
      </c>
      <c r="U574">
        <v>161.6</v>
      </c>
      <c r="V574">
        <v>159.4</v>
      </c>
      <c r="W574">
        <v>154.69999999999999</v>
      </c>
      <c r="X574">
        <v>165.8</v>
      </c>
      <c r="Y574">
        <v>148.9</v>
      </c>
      <c r="Z574">
        <v>155.80000000000001</v>
      </c>
      <c r="AA574">
        <v>161.19999999999999</v>
      </c>
      <c r="AB574">
        <v>158.6</v>
      </c>
      <c r="AC574">
        <v>156.80000000000001</v>
      </c>
    </row>
    <row r="575" spans="1:29" x14ac:dyDescent="0.35">
      <c r="A575" t="s">
        <v>34</v>
      </c>
      <c r="B575">
        <v>2021</v>
      </c>
      <c r="C575" t="s">
        <v>39</v>
      </c>
      <c r="D575">
        <v>146.69999999999999</v>
      </c>
      <c r="E575">
        <v>202</v>
      </c>
      <c r="F575">
        <v>180.7</v>
      </c>
      <c r="G575">
        <v>156.19999999999999</v>
      </c>
      <c r="H575">
        <v>183.7</v>
      </c>
      <c r="I575">
        <v>164.6</v>
      </c>
      <c r="J575">
        <v>155.4</v>
      </c>
      <c r="K575">
        <v>166</v>
      </c>
      <c r="L575">
        <v>115.1</v>
      </c>
      <c r="M575">
        <v>168.5</v>
      </c>
      <c r="N575">
        <v>160</v>
      </c>
      <c r="O575">
        <v>172.4</v>
      </c>
      <c r="P575">
        <v>162.6</v>
      </c>
      <c r="Q575">
        <v>190.8</v>
      </c>
      <c r="R575">
        <v>162.19999999999999</v>
      </c>
      <c r="S575">
        <v>151.80000000000001</v>
      </c>
      <c r="T575">
        <v>160.69999999999999</v>
      </c>
      <c r="U575">
        <v>160.5</v>
      </c>
      <c r="V575">
        <v>159.80000000000001</v>
      </c>
      <c r="W575">
        <v>154.80000000000001</v>
      </c>
      <c r="X575">
        <v>166.3</v>
      </c>
      <c r="Y575">
        <v>150.69999999999999</v>
      </c>
      <c r="Z575">
        <v>154.9</v>
      </c>
      <c r="AA575">
        <v>161.69999999999999</v>
      </c>
      <c r="AB575">
        <v>158.80000000000001</v>
      </c>
      <c r="AC575">
        <v>157.6</v>
      </c>
    </row>
    <row r="576" spans="1:29" x14ac:dyDescent="0.35">
      <c r="A576" t="s">
        <v>34</v>
      </c>
      <c r="B576">
        <v>2021</v>
      </c>
      <c r="C576" t="s">
        <v>40</v>
      </c>
      <c r="D576">
        <v>146.4</v>
      </c>
      <c r="E576">
        <v>206.8</v>
      </c>
      <c r="F576">
        <v>182.2</v>
      </c>
      <c r="G576">
        <v>157.5</v>
      </c>
      <c r="H576">
        <v>182.1</v>
      </c>
      <c r="I576">
        <v>163.9</v>
      </c>
      <c r="J576">
        <v>164.2</v>
      </c>
      <c r="K576">
        <v>164</v>
      </c>
      <c r="L576">
        <v>114.5</v>
      </c>
      <c r="M576">
        <v>168.3</v>
      </c>
      <c r="N576">
        <v>160.9</v>
      </c>
      <c r="O576">
        <v>172.2</v>
      </c>
      <c r="P576">
        <v>164</v>
      </c>
      <c r="Q576">
        <v>191.2</v>
      </c>
      <c r="R576">
        <v>162.80000000000001</v>
      </c>
      <c r="S576">
        <v>153.1</v>
      </c>
      <c r="T576">
        <v>161.4</v>
      </c>
      <c r="U576">
        <v>161.5</v>
      </c>
      <c r="V576">
        <v>160.69999999999999</v>
      </c>
      <c r="W576">
        <v>155.80000000000001</v>
      </c>
      <c r="X576">
        <v>167</v>
      </c>
      <c r="Y576">
        <v>153.1</v>
      </c>
      <c r="Z576">
        <v>155.30000000000001</v>
      </c>
      <c r="AA576">
        <v>163.19999999999999</v>
      </c>
      <c r="AB576">
        <v>160.1</v>
      </c>
      <c r="AC576">
        <v>159</v>
      </c>
    </row>
    <row r="577" spans="1:29" x14ac:dyDescent="0.35">
      <c r="A577" t="s">
        <v>34</v>
      </c>
      <c r="B577">
        <v>2021</v>
      </c>
      <c r="C577" t="s">
        <v>41</v>
      </c>
      <c r="D577">
        <v>146.6</v>
      </c>
      <c r="E577">
        <v>204</v>
      </c>
      <c r="F577">
        <v>172.8</v>
      </c>
      <c r="G577">
        <v>158.4</v>
      </c>
      <c r="H577">
        <v>188</v>
      </c>
      <c r="I577">
        <v>156.80000000000001</v>
      </c>
      <c r="J577">
        <v>162.19999999999999</v>
      </c>
      <c r="K577">
        <v>164.1</v>
      </c>
      <c r="L577">
        <v>119.7</v>
      </c>
      <c r="M577">
        <v>168.8</v>
      </c>
      <c r="N577">
        <v>162.69999999999999</v>
      </c>
      <c r="O577">
        <v>173.9</v>
      </c>
      <c r="P577">
        <v>164</v>
      </c>
      <c r="Q577">
        <v>192.1</v>
      </c>
      <c r="R577">
        <v>164.5</v>
      </c>
      <c r="S577">
        <v>155.30000000000001</v>
      </c>
      <c r="T577">
        <v>163.19999999999999</v>
      </c>
      <c r="U577">
        <v>162.1</v>
      </c>
      <c r="V577">
        <v>162.6</v>
      </c>
      <c r="W577">
        <v>157.5</v>
      </c>
      <c r="X577">
        <v>168.4</v>
      </c>
      <c r="Y577">
        <v>154</v>
      </c>
      <c r="Z577">
        <v>157.6</v>
      </c>
      <c r="AA577">
        <v>163.80000000000001</v>
      </c>
      <c r="AB577">
        <v>160</v>
      </c>
      <c r="AC577">
        <v>160</v>
      </c>
    </row>
    <row r="578" spans="1:29" x14ac:dyDescent="0.35">
      <c r="A578" t="s">
        <v>34</v>
      </c>
      <c r="B578">
        <v>2021</v>
      </c>
      <c r="C578" t="s">
        <v>42</v>
      </c>
      <c r="D578">
        <v>146.6</v>
      </c>
      <c r="E578">
        <v>204</v>
      </c>
      <c r="F578">
        <v>172.8</v>
      </c>
      <c r="G578">
        <v>158.4</v>
      </c>
      <c r="H578">
        <v>188</v>
      </c>
      <c r="I578">
        <v>156.69999999999999</v>
      </c>
      <c r="J578">
        <v>162.30000000000001</v>
      </c>
      <c r="K578">
        <v>164.1</v>
      </c>
      <c r="L578">
        <v>119.7</v>
      </c>
      <c r="M578">
        <v>168.8</v>
      </c>
      <c r="N578">
        <v>162.69999999999999</v>
      </c>
      <c r="O578">
        <v>173.9</v>
      </c>
      <c r="P578">
        <v>164</v>
      </c>
      <c r="Q578">
        <v>192.1</v>
      </c>
      <c r="R578">
        <v>164.6</v>
      </c>
      <c r="S578">
        <v>155.30000000000001</v>
      </c>
      <c r="T578">
        <v>163.30000000000001</v>
      </c>
      <c r="U578">
        <v>162.1</v>
      </c>
      <c r="V578">
        <v>162.6</v>
      </c>
      <c r="W578">
        <v>157.5</v>
      </c>
      <c r="X578">
        <v>168.4</v>
      </c>
      <c r="Y578">
        <v>154</v>
      </c>
      <c r="Z578">
        <v>157.69999999999999</v>
      </c>
      <c r="AA578">
        <v>163.69999999999999</v>
      </c>
      <c r="AB578">
        <v>160</v>
      </c>
      <c r="AC578">
        <v>160</v>
      </c>
    </row>
    <row r="579" spans="1:29" x14ac:dyDescent="0.35">
      <c r="A579" t="s">
        <v>34</v>
      </c>
      <c r="B579">
        <v>2021</v>
      </c>
      <c r="C579" t="s">
        <v>43</v>
      </c>
      <c r="D579">
        <v>147.4</v>
      </c>
      <c r="E579">
        <v>204.6</v>
      </c>
      <c r="F579">
        <v>171.2</v>
      </c>
      <c r="G579">
        <v>158.69999999999999</v>
      </c>
      <c r="H579">
        <v>190.6</v>
      </c>
      <c r="I579">
        <v>155.69999999999999</v>
      </c>
      <c r="J579">
        <v>185.3</v>
      </c>
      <c r="K579">
        <v>165.2</v>
      </c>
      <c r="L579">
        <v>121.9</v>
      </c>
      <c r="M579">
        <v>169.3</v>
      </c>
      <c r="N579">
        <v>163.19999999999999</v>
      </c>
      <c r="O579">
        <v>174.7</v>
      </c>
      <c r="P579">
        <v>167.7</v>
      </c>
      <c r="Q579">
        <v>192.7</v>
      </c>
      <c r="R579">
        <v>165.7</v>
      </c>
      <c r="S579">
        <v>156.30000000000001</v>
      </c>
      <c r="T579">
        <v>164.3</v>
      </c>
      <c r="U579">
        <v>163.6</v>
      </c>
      <c r="V579">
        <v>164.2</v>
      </c>
      <c r="W579">
        <v>158.4</v>
      </c>
      <c r="X579">
        <v>169.1</v>
      </c>
      <c r="Y579">
        <v>155.69999999999999</v>
      </c>
      <c r="Z579">
        <v>158.6</v>
      </c>
      <c r="AA579">
        <v>163.9</v>
      </c>
      <c r="AB579">
        <v>160.80000000000001</v>
      </c>
      <c r="AC579">
        <v>161</v>
      </c>
    </row>
    <row r="580" spans="1:29" x14ac:dyDescent="0.35">
      <c r="A580" t="s">
        <v>34</v>
      </c>
      <c r="B580">
        <v>2021</v>
      </c>
      <c r="C580" t="s">
        <v>45</v>
      </c>
      <c r="D580">
        <v>148.19999999999999</v>
      </c>
      <c r="E580">
        <v>201.6</v>
      </c>
      <c r="F580">
        <v>173</v>
      </c>
      <c r="G580">
        <v>159.30000000000001</v>
      </c>
      <c r="H580">
        <v>190.1</v>
      </c>
      <c r="I580">
        <v>156.5</v>
      </c>
      <c r="J580">
        <v>199.2</v>
      </c>
      <c r="K580">
        <v>165.3</v>
      </c>
      <c r="L580">
        <v>122.4</v>
      </c>
      <c r="M580">
        <v>169.6</v>
      </c>
      <c r="N580">
        <v>163.69999999999999</v>
      </c>
      <c r="O580">
        <v>175.5</v>
      </c>
      <c r="P580">
        <v>169.7</v>
      </c>
      <c r="Q580">
        <v>192.9</v>
      </c>
      <c r="R580">
        <v>167.2</v>
      </c>
      <c r="S580">
        <v>157.4</v>
      </c>
      <c r="T580">
        <v>165.8</v>
      </c>
      <c r="U580">
        <v>164.2</v>
      </c>
      <c r="V580">
        <v>163.9</v>
      </c>
      <c r="W580">
        <v>159.30000000000001</v>
      </c>
      <c r="X580">
        <v>169.9</v>
      </c>
      <c r="Y580">
        <v>154.80000000000001</v>
      </c>
      <c r="Z580">
        <v>159.80000000000001</v>
      </c>
      <c r="AA580">
        <v>164.3</v>
      </c>
      <c r="AB580">
        <v>162.19999999999999</v>
      </c>
      <c r="AC580">
        <v>161.4</v>
      </c>
    </row>
    <row r="581" spans="1:29" x14ac:dyDescent="0.35">
      <c r="A581" t="s">
        <v>34</v>
      </c>
      <c r="B581">
        <v>2021</v>
      </c>
      <c r="C581" t="s">
        <v>46</v>
      </c>
      <c r="D581">
        <v>148.69999999999999</v>
      </c>
      <c r="E581">
        <v>198.8</v>
      </c>
      <c r="F581">
        <v>177.9</v>
      </c>
      <c r="G581">
        <v>159.9</v>
      </c>
      <c r="H581">
        <v>187.6</v>
      </c>
      <c r="I581">
        <v>154.9</v>
      </c>
      <c r="J581">
        <v>188.3</v>
      </c>
      <c r="K581">
        <v>164.4</v>
      </c>
      <c r="L581">
        <v>121</v>
      </c>
      <c r="M581">
        <v>170.5</v>
      </c>
      <c r="N581">
        <v>164.2</v>
      </c>
      <c r="O581">
        <v>176.5</v>
      </c>
      <c r="P581">
        <v>168.2</v>
      </c>
      <c r="Q581">
        <v>192.4</v>
      </c>
      <c r="R581">
        <v>168.5</v>
      </c>
      <c r="S581">
        <v>158.69999999999999</v>
      </c>
      <c r="T581">
        <v>167</v>
      </c>
      <c r="U581">
        <v>163.4</v>
      </c>
      <c r="V581">
        <v>164.1</v>
      </c>
      <c r="W581">
        <v>160.19999999999999</v>
      </c>
      <c r="X581">
        <v>170.6</v>
      </c>
      <c r="Y581">
        <v>155.69999999999999</v>
      </c>
      <c r="Z581">
        <v>160.6</v>
      </c>
      <c r="AA581">
        <v>164.4</v>
      </c>
      <c r="AB581">
        <v>162.6</v>
      </c>
      <c r="AC581">
        <v>162</v>
      </c>
    </row>
    <row r="582" spans="1:29" x14ac:dyDescent="0.35">
      <c r="A582" t="s">
        <v>34</v>
      </c>
      <c r="B582">
        <v>2022</v>
      </c>
      <c r="C582" t="s">
        <v>31</v>
      </c>
      <c r="D582">
        <v>149.5</v>
      </c>
      <c r="E582">
        <v>198.7</v>
      </c>
      <c r="F582">
        <v>178.8</v>
      </c>
      <c r="G582">
        <v>160.5</v>
      </c>
      <c r="H582">
        <v>184.7</v>
      </c>
      <c r="I582">
        <v>153.69999999999999</v>
      </c>
      <c r="J582">
        <v>174.3</v>
      </c>
      <c r="K582">
        <v>163.9</v>
      </c>
      <c r="L582">
        <v>120</v>
      </c>
      <c r="M582">
        <v>172.1</v>
      </c>
      <c r="N582">
        <v>164.3</v>
      </c>
      <c r="O582">
        <v>177.3</v>
      </c>
      <c r="P582">
        <v>166.4</v>
      </c>
      <c r="Q582">
        <v>192.2</v>
      </c>
      <c r="R582">
        <v>169.9</v>
      </c>
      <c r="S582">
        <v>160.69999999999999</v>
      </c>
      <c r="T582">
        <v>168.5</v>
      </c>
      <c r="U582">
        <v>164.5</v>
      </c>
      <c r="V582">
        <v>164.2</v>
      </c>
      <c r="W582">
        <v>161.1</v>
      </c>
      <c r="X582">
        <v>171.4</v>
      </c>
      <c r="Y582">
        <v>156.5</v>
      </c>
      <c r="Z582">
        <v>161.19999999999999</v>
      </c>
      <c r="AA582">
        <v>164.7</v>
      </c>
      <c r="AB582">
        <v>163</v>
      </c>
      <c r="AC582">
        <v>162.69999999999999</v>
      </c>
    </row>
    <row r="583" spans="1:29" x14ac:dyDescent="0.35">
      <c r="A583" t="s">
        <v>34</v>
      </c>
      <c r="B583">
        <v>2022</v>
      </c>
      <c r="C583" t="s">
        <v>35</v>
      </c>
      <c r="D583">
        <v>150</v>
      </c>
      <c r="E583">
        <v>200.6</v>
      </c>
      <c r="F583">
        <v>175.8</v>
      </c>
      <c r="G583">
        <v>160.69999999999999</v>
      </c>
      <c r="H583">
        <v>184.9</v>
      </c>
      <c r="I583">
        <v>153.69999999999999</v>
      </c>
      <c r="J583">
        <v>169.7</v>
      </c>
      <c r="K583">
        <v>163.69999999999999</v>
      </c>
      <c r="L583">
        <v>118.9</v>
      </c>
      <c r="M583">
        <v>174.3</v>
      </c>
      <c r="N583">
        <v>164.7</v>
      </c>
      <c r="O583">
        <v>178</v>
      </c>
      <c r="P583">
        <v>166.2</v>
      </c>
      <c r="Q583">
        <v>192.8</v>
      </c>
      <c r="R583">
        <v>170.8</v>
      </c>
      <c r="S583">
        <v>162.4</v>
      </c>
      <c r="T583">
        <v>169.6</v>
      </c>
      <c r="U583">
        <v>165.5</v>
      </c>
      <c r="V583">
        <v>165.7</v>
      </c>
      <c r="W583">
        <v>161.80000000000001</v>
      </c>
      <c r="X583">
        <v>172.2</v>
      </c>
      <c r="Y583">
        <v>156.9</v>
      </c>
      <c r="Z583">
        <v>162.1</v>
      </c>
      <c r="AA583">
        <v>165.4</v>
      </c>
      <c r="AB583">
        <v>164.4</v>
      </c>
      <c r="AC583">
        <v>163.5</v>
      </c>
    </row>
    <row r="584" spans="1:29" x14ac:dyDescent="0.35">
      <c r="A584" t="s">
        <v>34</v>
      </c>
      <c r="B584">
        <v>2022</v>
      </c>
      <c r="C584" t="s">
        <v>36</v>
      </c>
      <c r="D584">
        <v>151.30000000000001</v>
      </c>
      <c r="E584">
        <v>210.7</v>
      </c>
      <c r="F584">
        <v>167.8</v>
      </c>
      <c r="G584">
        <v>162.19999999999999</v>
      </c>
      <c r="H584">
        <v>194.6</v>
      </c>
      <c r="I584">
        <v>157.6</v>
      </c>
      <c r="J584">
        <v>166.9</v>
      </c>
      <c r="K584">
        <v>163.9</v>
      </c>
      <c r="L584">
        <v>118.8</v>
      </c>
      <c r="M584">
        <v>177.4</v>
      </c>
      <c r="N584">
        <v>165.3</v>
      </c>
      <c r="O584">
        <v>179.3</v>
      </c>
      <c r="P584">
        <v>168.4</v>
      </c>
      <c r="Q584">
        <v>193.7</v>
      </c>
      <c r="R584">
        <v>172.1</v>
      </c>
      <c r="S584">
        <v>164.6</v>
      </c>
      <c r="T584">
        <v>171.1</v>
      </c>
      <c r="U584">
        <v>165.3</v>
      </c>
      <c r="V584">
        <v>167.2</v>
      </c>
      <c r="W584">
        <v>162.80000000000001</v>
      </c>
      <c r="X584">
        <v>173</v>
      </c>
      <c r="Y584">
        <v>157.9</v>
      </c>
      <c r="Z584">
        <v>163.30000000000001</v>
      </c>
      <c r="AA584">
        <v>166</v>
      </c>
      <c r="AB584">
        <v>167.2</v>
      </c>
      <c r="AC584">
        <v>164.6</v>
      </c>
    </row>
    <row r="585" spans="1:29" x14ac:dyDescent="0.35">
      <c r="A585" t="s">
        <v>34</v>
      </c>
      <c r="B585">
        <v>2022</v>
      </c>
      <c r="C585" t="s">
        <v>37</v>
      </c>
      <c r="D585">
        <v>152.9</v>
      </c>
      <c r="E585">
        <v>211.8</v>
      </c>
      <c r="F585">
        <v>164.5</v>
      </c>
      <c r="G585">
        <v>163.9</v>
      </c>
      <c r="H585">
        <v>199.5</v>
      </c>
      <c r="I585">
        <v>172.6</v>
      </c>
      <c r="J585">
        <v>166.2</v>
      </c>
      <c r="K585">
        <v>164.7</v>
      </c>
      <c r="L585">
        <v>119</v>
      </c>
      <c r="M585">
        <v>181.3</v>
      </c>
      <c r="N585">
        <v>166.2</v>
      </c>
      <c r="O585">
        <v>180.9</v>
      </c>
      <c r="P585">
        <v>170.8</v>
      </c>
      <c r="Q585">
        <v>193.9</v>
      </c>
      <c r="R585">
        <v>173.9</v>
      </c>
      <c r="S585">
        <v>166.5</v>
      </c>
      <c r="T585">
        <v>172.8</v>
      </c>
      <c r="U585">
        <v>167</v>
      </c>
      <c r="V585">
        <v>172.2</v>
      </c>
      <c r="W585">
        <v>164</v>
      </c>
      <c r="X585">
        <v>174</v>
      </c>
      <c r="Y585">
        <v>162.6</v>
      </c>
      <c r="Z585">
        <v>164.4</v>
      </c>
      <c r="AA585">
        <v>166.9</v>
      </c>
      <c r="AB585">
        <v>168.8</v>
      </c>
      <c r="AC585">
        <v>166.8</v>
      </c>
    </row>
    <row r="586" spans="1:29" x14ac:dyDescent="0.35">
      <c r="A586" t="s">
        <v>34</v>
      </c>
      <c r="B586">
        <v>2022</v>
      </c>
      <c r="C586" t="s">
        <v>38</v>
      </c>
      <c r="D586">
        <v>154.1</v>
      </c>
      <c r="E586">
        <v>217</v>
      </c>
      <c r="F586">
        <v>162.4</v>
      </c>
      <c r="G586">
        <v>164.9</v>
      </c>
      <c r="H586">
        <v>202.4</v>
      </c>
      <c r="I586">
        <v>171</v>
      </c>
      <c r="J586">
        <v>174.9</v>
      </c>
      <c r="K586">
        <v>164.7</v>
      </c>
      <c r="L586">
        <v>119.7</v>
      </c>
      <c r="M586">
        <v>184.9</v>
      </c>
      <c r="N586">
        <v>167.1</v>
      </c>
      <c r="O586">
        <v>182.5</v>
      </c>
      <c r="P586">
        <v>173.3</v>
      </c>
      <c r="Q586">
        <v>194.1</v>
      </c>
      <c r="R586">
        <v>175.6</v>
      </c>
      <c r="S586">
        <v>168.4</v>
      </c>
      <c r="T586">
        <v>174.6</v>
      </c>
      <c r="U586">
        <v>167.5</v>
      </c>
      <c r="V586">
        <v>174.6</v>
      </c>
      <c r="W586">
        <v>165.2</v>
      </c>
      <c r="X586">
        <v>174.8</v>
      </c>
      <c r="Y586">
        <v>163</v>
      </c>
      <c r="Z586">
        <v>165.1</v>
      </c>
      <c r="AA586">
        <v>167.9</v>
      </c>
      <c r="AB586">
        <v>168.4</v>
      </c>
      <c r="AC586">
        <v>167.5</v>
      </c>
    </row>
    <row r="587" spans="1:29" x14ac:dyDescent="0.35">
      <c r="A587" t="s">
        <v>34</v>
      </c>
      <c r="B587">
        <v>2022</v>
      </c>
      <c r="C587" t="s">
        <v>39</v>
      </c>
      <c r="D587">
        <v>155</v>
      </c>
      <c r="E587">
        <v>219.4</v>
      </c>
      <c r="F587">
        <v>170.8</v>
      </c>
      <c r="G587">
        <v>165.8</v>
      </c>
      <c r="H587">
        <v>200.9</v>
      </c>
      <c r="I587">
        <v>169.7</v>
      </c>
      <c r="J587">
        <v>182.3</v>
      </c>
      <c r="K587">
        <v>164.3</v>
      </c>
      <c r="L587">
        <v>119.9</v>
      </c>
      <c r="M587">
        <v>187.1</v>
      </c>
      <c r="N587">
        <v>167.9</v>
      </c>
      <c r="O587">
        <v>183.9</v>
      </c>
      <c r="P587">
        <v>174.9</v>
      </c>
      <c r="Q587">
        <v>194.3</v>
      </c>
      <c r="R587">
        <v>177.1</v>
      </c>
      <c r="S587">
        <v>169.9</v>
      </c>
      <c r="T587">
        <v>176</v>
      </c>
      <c r="U587">
        <v>166.8</v>
      </c>
      <c r="V587">
        <v>176</v>
      </c>
      <c r="W587">
        <v>166.4</v>
      </c>
      <c r="X587">
        <v>175.4</v>
      </c>
      <c r="Y587">
        <v>161.1</v>
      </c>
      <c r="Z587">
        <v>165.8</v>
      </c>
      <c r="AA587">
        <v>169</v>
      </c>
      <c r="AB587">
        <v>169.4</v>
      </c>
      <c r="AC587">
        <v>167.5</v>
      </c>
    </row>
    <row r="588" spans="1:29" x14ac:dyDescent="0.35">
      <c r="A588" t="s">
        <v>34</v>
      </c>
      <c r="B588">
        <v>2022</v>
      </c>
      <c r="C588" t="s">
        <v>40</v>
      </c>
      <c r="D588">
        <v>156.5</v>
      </c>
      <c r="E588">
        <v>213</v>
      </c>
      <c r="F588">
        <v>175.2</v>
      </c>
      <c r="G588">
        <v>166.6</v>
      </c>
      <c r="H588">
        <v>195.8</v>
      </c>
      <c r="I588">
        <v>174.2</v>
      </c>
      <c r="J588">
        <v>182.1</v>
      </c>
      <c r="K588">
        <v>164.3</v>
      </c>
      <c r="L588">
        <v>120</v>
      </c>
      <c r="M588">
        <v>190</v>
      </c>
      <c r="N588">
        <v>168.4</v>
      </c>
      <c r="O588">
        <v>185.2</v>
      </c>
      <c r="P588">
        <v>175</v>
      </c>
      <c r="Q588">
        <v>194.6</v>
      </c>
      <c r="R588">
        <v>178.3</v>
      </c>
      <c r="S588">
        <v>171.3</v>
      </c>
      <c r="T588">
        <v>177.3</v>
      </c>
      <c r="U588">
        <v>167.8</v>
      </c>
      <c r="V588">
        <v>179.6</v>
      </c>
      <c r="W588">
        <v>167.4</v>
      </c>
      <c r="X588">
        <v>176.1</v>
      </c>
      <c r="Y588">
        <v>161.6</v>
      </c>
      <c r="Z588">
        <v>166.3</v>
      </c>
      <c r="AA588">
        <v>171.4</v>
      </c>
      <c r="AB588">
        <v>169.7</v>
      </c>
      <c r="AC588">
        <v>168.4</v>
      </c>
    </row>
    <row r="589" spans="1:29" x14ac:dyDescent="0.35">
      <c r="A589" t="s">
        <v>34</v>
      </c>
      <c r="B589">
        <v>2022</v>
      </c>
      <c r="C589" t="s">
        <v>41</v>
      </c>
      <c r="D589">
        <v>160.30000000000001</v>
      </c>
      <c r="E589">
        <v>206.5</v>
      </c>
      <c r="F589">
        <v>169.2</v>
      </c>
      <c r="G589">
        <v>168.1</v>
      </c>
      <c r="H589">
        <v>192.4</v>
      </c>
      <c r="I589">
        <v>172.9</v>
      </c>
      <c r="J589">
        <v>186.7</v>
      </c>
      <c r="K589">
        <v>167.2</v>
      </c>
      <c r="L589">
        <v>120.9</v>
      </c>
      <c r="M589">
        <v>193.6</v>
      </c>
      <c r="N589">
        <v>168.8</v>
      </c>
      <c r="O589">
        <v>186.3</v>
      </c>
      <c r="P589">
        <v>176.3</v>
      </c>
      <c r="Q589">
        <v>195</v>
      </c>
      <c r="R589">
        <v>179.5</v>
      </c>
      <c r="S589">
        <v>172.7</v>
      </c>
      <c r="T589">
        <v>178.5</v>
      </c>
      <c r="U589">
        <v>169</v>
      </c>
      <c r="V589">
        <v>178.8</v>
      </c>
      <c r="W589">
        <v>168.5</v>
      </c>
      <c r="X589">
        <v>176.8</v>
      </c>
      <c r="Y589">
        <v>161.9</v>
      </c>
      <c r="Z589">
        <v>166.9</v>
      </c>
      <c r="AA589">
        <v>172.3</v>
      </c>
      <c r="AB589">
        <v>171.2</v>
      </c>
      <c r="AC589">
        <v>169.1</v>
      </c>
    </row>
    <row r="590" spans="1:29" x14ac:dyDescent="0.35">
      <c r="A590" t="s">
        <v>34</v>
      </c>
      <c r="B590">
        <v>2022</v>
      </c>
      <c r="C590" t="s">
        <v>42</v>
      </c>
      <c r="D590">
        <v>163.5</v>
      </c>
      <c r="E590">
        <v>209.2</v>
      </c>
      <c r="F590">
        <v>169.7</v>
      </c>
      <c r="G590">
        <v>169.7</v>
      </c>
      <c r="H590">
        <v>188.7</v>
      </c>
      <c r="I590">
        <v>165.7</v>
      </c>
      <c r="J590">
        <v>191.8</v>
      </c>
      <c r="K590">
        <v>169.1</v>
      </c>
      <c r="L590">
        <v>121.6</v>
      </c>
      <c r="M590">
        <v>197.3</v>
      </c>
      <c r="N590">
        <v>169.4</v>
      </c>
      <c r="O590">
        <v>187.4</v>
      </c>
      <c r="P590">
        <v>177.8</v>
      </c>
      <c r="Q590">
        <v>195.9</v>
      </c>
      <c r="R590">
        <v>180.9</v>
      </c>
      <c r="S590">
        <v>174.3</v>
      </c>
      <c r="T590">
        <v>179.9</v>
      </c>
      <c r="U590">
        <v>169.5</v>
      </c>
      <c r="V590">
        <v>179.5</v>
      </c>
      <c r="W590">
        <v>169.5</v>
      </c>
      <c r="X590">
        <v>177.8</v>
      </c>
      <c r="Y590">
        <v>162.30000000000001</v>
      </c>
      <c r="Z590">
        <v>167.6</v>
      </c>
      <c r="AA590">
        <v>173.1</v>
      </c>
      <c r="AB590">
        <v>170.9</v>
      </c>
      <c r="AC590">
        <v>169.7</v>
      </c>
    </row>
    <row r="591" spans="1:29" x14ac:dyDescent="0.35">
      <c r="A591" t="s">
        <v>34</v>
      </c>
      <c r="B591">
        <v>2022</v>
      </c>
      <c r="C591" t="s">
        <v>43</v>
      </c>
      <c r="D591">
        <v>165.2</v>
      </c>
      <c r="E591">
        <v>210.9</v>
      </c>
      <c r="F591">
        <v>170.9</v>
      </c>
      <c r="G591">
        <v>170.9</v>
      </c>
      <c r="H591">
        <v>186.5</v>
      </c>
      <c r="I591">
        <v>163.80000000000001</v>
      </c>
      <c r="J591">
        <v>199.7</v>
      </c>
      <c r="K591">
        <v>169.8</v>
      </c>
      <c r="L591">
        <v>121.9</v>
      </c>
      <c r="M591">
        <v>199.9</v>
      </c>
      <c r="N591">
        <v>169.9</v>
      </c>
      <c r="O591">
        <v>188.3</v>
      </c>
      <c r="P591">
        <v>179.6</v>
      </c>
      <c r="Q591">
        <v>196.3</v>
      </c>
      <c r="R591">
        <v>181.9</v>
      </c>
      <c r="S591">
        <v>175.3</v>
      </c>
      <c r="T591">
        <v>181</v>
      </c>
      <c r="U591">
        <v>171.2</v>
      </c>
      <c r="V591">
        <v>180.5</v>
      </c>
      <c r="W591">
        <v>170.4</v>
      </c>
      <c r="X591">
        <v>178.7</v>
      </c>
      <c r="Y591">
        <v>162.9</v>
      </c>
      <c r="Z591">
        <v>168.2</v>
      </c>
      <c r="AA591">
        <v>173.4</v>
      </c>
      <c r="AB591">
        <v>172.1</v>
      </c>
      <c r="AC591">
        <v>170.5</v>
      </c>
    </row>
    <row r="592" spans="1:29" x14ac:dyDescent="0.35">
      <c r="A592" t="s">
        <v>34</v>
      </c>
      <c r="B592">
        <v>2022</v>
      </c>
      <c r="C592" t="s">
        <v>45</v>
      </c>
      <c r="D592">
        <v>167.4</v>
      </c>
      <c r="E592">
        <v>209.4</v>
      </c>
      <c r="F592">
        <v>181.4</v>
      </c>
      <c r="G592">
        <v>172.3</v>
      </c>
      <c r="H592">
        <v>188.9</v>
      </c>
      <c r="I592">
        <v>160.69999999999999</v>
      </c>
      <c r="J592">
        <v>183.1</v>
      </c>
      <c r="K592">
        <v>170.5</v>
      </c>
      <c r="L592">
        <v>122.1</v>
      </c>
      <c r="M592">
        <v>202.8</v>
      </c>
      <c r="N592">
        <v>170.4</v>
      </c>
      <c r="O592">
        <v>189.5</v>
      </c>
      <c r="P592">
        <v>178.3</v>
      </c>
      <c r="Q592">
        <v>196.9</v>
      </c>
      <c r="R592">
        <v>183.1</v>
      </c>
      <c r="S592">
        <v>176.2</v>
      </c>
      <c r="T592">
        <v>182.1</v>
      </c>
      <c r="U592">
        <v>171.8</v>
      </c>
      <c r="V592">
        <v>181.3</v>
      </c>
      <c r="W592">
        <v>171.4</v>
      </c>
      <c r="X592">
        <v>179.8</v>
      </c>
      <c r="Y592">
        <v>163</v>
      </c>
      <c r="Z592">
        <v>168.5</v>
      </c>
      <c r="AA592">
        <v>173.7</v>
      </c>
      <c r="AB592">
        <v>173.6</v>
      </c>
      <c r="AC592">
        <v>171.1</v>
      </c>
    </row>
    <row r="593" spans="1:29" x14ac:dyDescent="0.35">
      <c r="A593" t="s">
        <v>34</v>
      </c>
      <c r="B593">
        <v>2022</v>
      </c>
      <c r="C593" t="s">
        <v>46</v>
      </c>
      <c r="D593">
        <v>169.2</v>
      </c>
      <c r="E593">
        <v>209</v>
      </c>
      <c r="F593">
        <v>190.2</v>
      </c>
      <c r="G593">
        <v>173.6</v>
      </c>
      <c r="H593">
        <v>188.5</v>
      </c>
      <c r="I593">
        <v>158</v>
      </c>
      <c r="J593">
        <v>159.9</v>
      </c>
      <c r="K593">
        <v>170.8</v>
      </c>
      <c r="L593">
        <v>121.8</v>
      </c>
      <c r="M593">
        <v>205.2</v>
      </c>
      <c r="N593">
        <v>171</v>
      </c>
      <c r="O593">
        <v>190.3</v>
      </c>
      <c r="P593">
        <v>175.9</v>
      </c>
      <c r="Q593">
        <v>197.3</v>
      </c>
      <c r="R593">
        <v>184</v>
      </c>
      <c r="S593">
        <v>177</v>
      </c>
      <c r="T593">
        <v>183</v>
      </c>
      <c r="U593">
        <v>170.7</v>
      </c>
      <c r="V593">
        <v>182</v>
      </c>
      <c r="W593">
        <v>172.1</v>
      </c>
      <c r="X593">
        <v>181.1</v>
      </c>
      <c r="Y593">
        <v>163.4</v>
      </c>
      <c r="Z593">
        <v>168.9</v>
      </c>
      <c r="AA593">
        <v>174.1</v>
      </c>
      <c r="AB593">
        <v>175.8</v>
      </c>
      <c r="AC593">
        <v>172</v>
      </c>
    </row>
    <row r="594" spans="1:29" x14ac:dyDescent="0.35">
      <c r="A594" t="s">
        <v>34</v>
      </c>
      <c r="B594">
        <v>2023</v>
      </c>
      <c r="C594" t="s">
        <v>31</v>
      </c>
      <c r="D594">
        <v>173.8</v>
      </c>
      <c r="E594">
        <v>210.7</v>
      </c>
      <c r="F594">
        <v>194.5</v>
      </c>
      <c r="G594">
        <v>174.6</v>
      </c>
      <c r="H594">
        <v>187.2</v>
      </c>
      <c r="I594">
        <v>158.30000000000001</v>
      </c>
      <c r="J594">
        <v>153.9</v>
      </c>
      <c r="K594">
        <v>170.9</v>
      </c>
      <c r="L594">
        <v>121.1</v>
      </c>
      <c r="M594">
        <v>208.4</v>
      </c>
      <c r="N594">
        <v>171.4</v>
      </c>
      <c r="O594">
        <v>191.2</v>
      </c>
      <c r="P594">
        <v>176.7</v>
      </c>
      <c r="Q594">
        <v>198.2</v>
      </c>
      <c r="R594">
        <v>184.9</v>
      </c>
      <c r="S594">
        <v>177.6</v>
      </c>
      <c r="T594">
        <v>183.8</v>
      </c>
      <c r="U594">
        <v>172.1</v>
      </c>
      <c r="V594">
        <v>182</v>
      </c>
      <c r="W594">
        <v>172.9</v>
      </c>
      <c r="X594">
        <v>182.3</v>
      </c>
      <c r="Y594">
        <v>163.6</v>
      </c>
      <c r="Z594">
        <v>169.5</v>
      </c>
      <c r="AA594">
        <v>174.3</v>
      </c>
      <c r="AB594">
        <v>178.6</v>
      </c>
      <c r="AC594">
        <v>172.8</v>
      </c>
    </row>
    <row r="595" spans="1:29" x14ac:dyDescent="0.35">
      <c r="A595" t="s">
        <v>34</v>
      </c>
      <c r="B595">
        <v>2023</v>
      </c>
      <c r="C595" t="s">
        <v>35</v>
      </c>
      <c r="D595">
        <v>174.4</v>
      </c>
      <c r="E595">
        <v>207.7</v>
      </c>
      <c r="F595">
        <v>175.2</v>
      </c>
      <c r="G595">
        <v>177.3</v>
      </c>
      <c r="H595">
        <v>179.3</v>
      </c>
      <c r="I595">
        <v>169.5</v>
      </c>
      <c r="J595">
        <v>152.69999999999999</v>
      </c>
      <c r="K595">
        <v>171</v>
      </c>
      <c r="L595">
        <v>120</v>
      </c>
      <c r="M595">
        <v>209.7</v>
      </c>
      <c r="N595">
        <v>172.3</v>
      </c>
      <c r="O595">
        <v>193</v>
      </c>
      <c r="P595">
        <v>177</v>
      </c>
      <c r="Q595">
        <v>199.5</v>
      </c>
      <c r="R595">
        <v>186.2</v>
      </c>
      <c r="S595">
        <v>178.7</v>
      </c>
      <c r="T595">
        <v>185.1</v>
      </c>
      <c r="U595">
        <v>173.5</v>
      </c>
      <c r="V595">
        <v>182.1</v>
      </c>
      <c r="W595">
        <v>174.2</v>
      </c>
      <c r="X595">
        <v>184.4</v>
      </c>
      <c r="Y595">
        <v>164.2</v>
      </c>
      <c r="Z595">
        <v>170.3</v>
      </c>
      <c r="AA595">
        <v>175</v>
      </c>
      <c r="AB595">
        <v>181</v>
      </c>
      <c r="AC595">
        <v>174.1</v>
      </c>
    </row>
    <row r="596" spans="1:29" x14ac:dyDescent="0.35">
      <c r="A596" t="s">
        <v>34</v>
      </c>
      <c r="B596">
        <v>2023</v>
      </c>
      <c r="C596" t="s">
        <v>36</v>
      </c>
      <c r="D596">
        <v>174.4</v>
      </c>
      <c r="E596">
        <v>207.7</v>
      </c>
      <c r="F596">
        <v>175.2</v>
      </c>
      <c r="G596">
        <v>177.3</v>
      </c>
      <c r="H596">
        <v>179.2</v>
      </c>
      <c r="I596">
        <v>169.5</v>
      </c>
      <c r="J596">
        <v>152.80000000000001</v>
      </c>
      <c r="K596">
        <v>171.1</v>
      </c>
      <c r="L596">
        <v>120</v>
      </c>
      <c r="M596">
        <v>209.7</v>
      </c>
      <c r="N596">
        <v>172.3</v>
      </c>
      <c r="O596">
        <v>193</v>
      </c>
      <c r="P596">
        <v>177</v>
      </c>
      <c r="Q596">
        <v>199.5</v>
      </c>
      <c r="R596">
        <v>186.1</v>
      </c>
      <c r="S596">
        <v>178.7</v>
      </c>
      <c r="T596">
        <v>185.1</v>
      </c>
      <c r="U596">
        <v>173.5</v>
      </c>
      <c r="V596">
        <v>181.9</v>
      </c>
      <c r="W596">
        <v>174.2</v>
      </c>
      <c r="X596">
        <v>184.4</v>
      </c>
      <c r="Y596">
        <v>164.2</v>
      </c>
      <c r="Z596">
        <v>170.3</v>
      </c>
      <c r="AA596">
        <v>175</v>
      </c>
      <c r="AB596">
        <v>181</v>
      </c>
      <c r="AC596">
        <v>174.1</v>
      </c>
    </row>
    <row r="597" spans="1:29" x14ac:dyDescent="0.35">
      <c r="A597" t="s">
        <v>34</v>
      </c>
      <c r="B597">
        <v>2023</v>
      </c>
      <c r="C597" t="s">
        <v>37</v>
      </c>
      <c r="D597">
        <v>173.8</v>
      </c>
      <c r="E597">
        <v>209.3</v>
      </c>
      <c r="F597">
        <v>169.6</v>
      </c>
      <c r="G597">
        <v>178.4</v>
      </c>
      <c r="H597">
        <v>174.9</v>
      </c>
      <c r="I597">
        <v>176.3</v>
      </c>
      <c r="J597">
        <v>155.4</v>
      </c>
      <c r="K597">
        <v>173.4</v>
      </c>
      <c r="L597">
        <v>121.3</v>
      </c>
      <c r="M597">
        <v>212.9</v>
      </c>
      <c r="N597">
        <v>172.9</v>
      </c>
      <c r="O597">
        <v>193.5</v>
      </c>
      <c r="P597">
        <v>177.9</v>
      </c>
      <c r="Q597">
        <v>200.6</v>
      </c>
      <c r="R597">
        <v>186.9</v>
      </c>
      <c r="S597">
        <v>179.2</v>
      </c>
      <c r="T597">
        <v>185.7</v>
      </c>
      <c r="U597">
        <v>175.2</v>
      </c>
      <c r="V597">
        <v>181.7</v>
      </c>
      <c r="W597">
        <v>174.6</v>
      </c>
      <c r="X597">
        <v>185</v>
      </c>
      <c r="Y597">
        <v>164.5</v>
      </c>
      <c r="Z597">
        <v>170.7</v>
      </c>
      <c r="AA597">
        <v>176.4</v>
      </c>
      <c r="AB597">
        <v>184</v>
      </c>
      <c r="AC597">
        <v>175</v>
      </c>
    </row>
    <row r="598" spans="1:29" x14ac:dyDescent="0.35">
      <c r="A598" t="s">
        <v>34</v>
      </c>
      <c r="B598">
        <v>2023</v>
      </c>
      <c r="C598" t="s">
        <v>38</v>
      </c>
      <c r="D598">
        <v>173.7</v>
      </c>
      <c r="E598">
        <v>214.3</v>
      </c>
      <c r="F598">
        <v>173.2</v>
      </c>
      <c r="G598">
        <v>179.5</v>
      </c>
      <c r="H598">
        <v>170</v>
      </c>
      <c r="I598">
        <v>172.2</v>
      </c>
      <c r="J598">
        <v>161</v>
      </c>
      <c r="K598">
        <v>175.6</v>
      </c>
      <c r="L598">
        <v>122.7</v>
      </c>
      <c r="M598">
        <v>218</v>
      </c>
      <c r="N598">
        <v>173.4</v>
      </c>
      <c r="O598">
        <v>194.2</v>
      </c>
      <c r="P598">
        <v>179.1</v>
      </c>
      <c r="Q598">
        <v>201</v>
      </c>
      <c r="R598">
        <v>187.3</v>
      </c>
      <c r="S598">
        <v>179.7</v>
      </c>
      <c r="T598">
        <v>186.2</v>
      </c>
      <c r="U598">
        <v>175.6</v>
      </c>
      <c r="V598">
        <v>182.8</v>
      </c>
      <c r="W598">
        <v>175.2</v>
      </c>
      <c r="X598">
        <v>185.7</v>
      </c>
      <c r="Y598">
        <v>164.8</v>
      </c>
      <c r="Z598">
        <v>171.2</v>
      </c>
      <c r="AA598">
        <v>177.1</v>
      </c>
      <c r="AB598">
        <v>185.2</v>
      </c>
      <c r="AC598">
        <v>175.7</v>
      </c>
    </row>
    <row r="599" spans="1:29" x14ac:dyDescent="0.35">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9" x14ac:dyDescent="0.35">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9" x14ac:dyDescent="0.35">
      <c r="B601" s="1"/>
      <c r="C601" s="1"/>
      <c r="D601" s="1"/>
      <c r="E601" s="1"/>
      <c r="F601" s="1"/>
      <c r="G601" s="1"/>
      <c r="H601" s="1"/>
      <c r="I601" s="1"/>
      <c r="J601" s="1"/>
      <c r="K601" s="1"/>
      <c r="L601" s="1"/>
      <c r="M601" s="1"/>
      <c r="N601" s="1"/>
      <c r="O601" s="1"/>
      <c r="P601" s="1"/>
      <c r="Q601" s="1"/>
      <c r="R601" s="1"/>
      <c r="S601" s="1"/>
      <c r="T601" s="1"/>
      <c r="U601" s="1"/>
      <c r="V601" s="1"/>
      <c r="W601" s="1"/>
      <c r="X601" s="1"/>
      <c r="Y601" s="1"/>
    </row>
    <row r="609" spans="1:29" x14ac:dyDescent="0.35">
      <c r="A609" s="35" t="s">
        <v>104</v>
      </c>
      <c r="B609" s="35"/>
      <c r="C609" s="35"/>
      <c r="D609" s="35"/>
      <c r="E609" s="35"/>
      <c r="F609" s="39" t="s">
        <v>105</v>
      </c>
      <c r="G609" s="39"/>
      <c r="H609" s="39"/>
      <c r="I609" s="39"/>
      <c r="J609" s="39"/>
      <c r="K609" s="39"/>
    </row>
    <row r="610" spans="1:29" x14ac:dyDescent="0.35">
      <c r="A610" t="s">
        <v>0</v>
      </c>
      <c r="B610" t="s">
        <v>1</v>
      </c>
      <c r="C610" t="s">
        <v>2</v>
      </c>
      <c r="D610" t="s">
        <v>3</v>
      </c>
      <c r="E610" t="s">
        <v>4</v>
      </c>
      <c r="F610" t="s">
        <v>5</v>
      </c>
      <c r="G610" t="s">
        <v>6</v>
      </c>
      <c r="H610" t="s">
        <v>7</v>
      </c>
      <c r="I610" t="s">
        <v>8</v>
      </c>
      <c r="J610" t="s">
        <v>9</v>
      </c>
      <c r="K610" t="s">
        <v>10</v>
      </c>
      <c r="L610" t="s">
        <v>11</v>
      </c>
      <c r="M610" t="s">
        <v>12</v>
      </c>
      <c r="N610" t="s">
        <v>13</v>
      </c>
      <c r="O610" t="s">
        <v>14</v>
      </c>
      <c r="P610" t="s">
        <v>15</v>
      </c>
      <c r="Q610" t="s">
        <v>16</v>
      </c>
      <c r="R610" t="s">
        <v>17</v>
      </c>
      <c r="S610" t="s">
        <v>18</v>
      </c>
      <c r="T610" t="s">
        <v>19</v>
      </c>
      <c r="U610" t="s">
        <v>20</v>
      </c>
      <c r="V610" t="s">
        <v>21</v>
      </c>
      <c r="W610" t="s">
        <v>22</v>
      </c>
      <c r="X610" t="s">
        <v>23</v>
      </c>
      <c r="Y610" t="s">
        <v>24</v>
      </c>
      <c r="Z610" t="s">
        <v>25</v>
      </c>
      <c r="AA610" t="s">
        <v>26</v>
      </c>
      <c r="AB610" t="s">
        <v>27</v>
      </c>
      <c r="AC610" t="s">
        <v>28</v>
      </c>
    </row>
    <row r="611" spans="1:29" x14ac:dyDescent="0.35">
      <c r="A611" t="s">
        <v>34</v>
      </c>
      <c r="B611">
        <v>2021</v>
      </c>
      <c r="C611" t="s">
        <v>31</v>
      </c>
    </row>
    <row r="612" spans="1:29" x14ac:dyDescent="0.35">
      <c r="A612" t="s">
        <v>34</v>
      </c>
      <c r="B612">
        <v>2021</v>
      </c>
      <c r="C612" t="s">
        <v>35</v>
      </c>
      <c r="D612">
        <f>((D571-D570)/D570)*100</f>
        <v>-0.41407867494823619</v>
      </c>
      <c r="E612">
        <f>((E571-E570)/E570)*100</f>
        <v>-1.8937401367701181</v>
      </c>
      <c r="F612">
        <f>((F571-F570)/F570)*100</f>
        <v>-3.7649743297204918</v>
      </c>
      <c r="G612">
        <f>((G571-G570)/G570)*100</f>
        <v>0.38935756002595351</v>
      </c>
      <c r="H612">
        <f>((H571-H570)/H570)*100</f>
        <v>5.1689860834989947</v>
      </c>
      <c r="I612">
        <f>((I571-I570)/I570)*100</f>
        <v>0.7352941176470551</v>
      </c>
      <c r="J612">
        <f>((J571-J570)/J570)*100</f>
        <v>-17.610710607621005</v>
      </c>
      <c r="K612">
        <f>((K571-K570)/K570)*100</f>
        <v>-0.99750623441396158</v>
      </c>
      <c r="L612">
        <f>((L571-L570)/L570)*100</f>
        <v>-1.5706806282722487</v>
      </c>
      <c r="M612">
        <f>((M571-M570)/M570)*100</f>
        <v>0.12195121951218818</v>
      </c>
      <c r="N612">
        <f>((N571-N570)/N570)*100</f>
        <v>2.4374176548089515</v>
      </c>
      <c r="O612">
        <f>((O571-O570)/O570)*100</f>
        <v>1.1473429951690857</v>
      </c>
      <c r="P612">
        <f>((P571-P570)/P570)*100</f>
        <v>-2.5465838509316736</v>
      </c>
      <c r="Q612">
        <f>((Q571-Q570)/Q570)*100</f>
        <v>0.965147453083116</v>
      </c>
      <c r="R612">
        <f>((R571-R570)/R570)*100</f>
        <v>1.0932475884244299</v>
      </c>
      <c r="S612">
        <f>((S571-S570)/S570)*100</f>
        <v>0.88980150581794082</v>
      </c>
      <c r="T612">
        <f>((T571-T570)/T570)*100</f>
        <v>1.0376134889753716</v>
      </c>
      <c r="U612">
        <f>((U571-U570)/U570)*100</f>
        <v>1.331642358909336</v>
      </c>
      <c r="V612">
        <f>((V571-V570)/V570)*100</f>
        <v>3.0425963488843815</v>
      </c>
      <c r="W612">
        <f>((W571-W570)/W570)*100</f>
        <v>0.60000000000000386</v>
      </c>
      <c r="X612">
        <f>((X571-X570)/X570)*100</f>
        <v>1.2554927809165097</v>
      </c>
      <c r="Y612">
        <f>((Y571-Y570)/Y570)*100</f>
        <v>2.2551092318534098</v>
      </c>
      <c r="Z612">
        <f>((Z571-Z570)/Z570)*100</f>
        <v>1.2700534759358328</v>
      </c>
      <c r="AA612">
        <f>((AA571-AA570)/AA570)*100</f>
        <v>0.18844221105528353</v>
      </c>
      <c r="AB612">
        <f>((AB571-AB570)/AB570)*100</f>
        <v>-0.6377551020408162</v>
      </c>
      <c r="AC612">
        <f>((AC571-AC570)/AC570)*100</f>
        <v>0.98749177090190909</v>
      </c>
    </row>
    <row r="613" spans="1:29" x14ac:dyDescent="0.35">
      <c r="A613" t="s">
        <v>34</v>
      </c>
      <c r="B613">
        <v>2021</v>
      </c>
      <c r="C613" t="s">
        <v>36</v>
      </c>
      <c r="D613">
        <f>((D572-D571)/D571)*100</f>
        <v>-0.13860013860015039</v>
      </c>
      <c r="E613">
        <f>((E572-E571)/E571)*100</f>
        <v>3.0563002680965083</v>
      </c>
      <c r="F613">
        <f>((F572-F571)/F571)*100</f>
        <v>-2.9045643153526837</v>
      </c>
      <c r="G613">
        <f>((G572-G571)/G571)*100</f>
        <v>0.12928248222366973</v>
      </c>
      <c r="H613">
        <f>((H572-H571)/H571)*100</f>
        <v>3.2766225582860855</v>
      </c>
      <c r="I613">
        <f>((I572-I571)/I571)*100</f>
        <v>1.9907100199071004</v>
      </c>
      <c r="J613">
        <f>((J572-J571)/J571)*100</f>
        <v>-6.5625</v>
      </c>
      <c r="K613">
        <f>((K572-K571)/K571)*100</f>
        <v>0.62972292191435764</v>
      </c>
      <c r="L613">
        <f>((L572-L571)/L571)*100</f>
        <v>-0.17730496453900962</v>
      </c>
      <c r="M613">
        <f>((M572-M571)/M571)*100</f>
        <v>-0.4263093788063268</v>
      </c>
      <c r="N613">
        <f>((N572-N571)/N571)*100</f>
        <v>0.64308681672025725</v>
      </c>
      <c r="O613">
        <f>((O572-O571)/O571)*100</f>
        <v>0.41791044776118724</v>
      </c>
      <c r="P613">
        <f>((P572-P571)/P571)*100</f>
        <v>-0.12746972594010009</v>
      </c>
      <c r="Q613">
        <f>((Q572-Q571)/Q571)*100</f>
        <v>-0.10621348911312642</v>
      </c>
      <c r="R613">
        <f>((R572-R571)/R571)*100</f>
        <v>0.38167938931299156</v>
      </c>
      <c r="S613">
        <f>((S572-S571)/S571)*100</f>
        <v>0.33921302578018991</v>
      </c>
      <c r="T613">
        <f>((T572-T571)/T571)*100</f>
        <v>0.38510911424903355</v>
      </c>
      <c r="U613">
        <f>((U572-U571)/U571)*100</f>
        <v>6.2578222778469528E-2</v>
      </c>
      <c r="V613">
        <f>((V572-V571)/V571)*100</f>
        <v>2.0341207349081327</v>
      </c>
      <c r="W613">
        <f>((W572-W571)/W571)*100</f>
        <v>0.19880715705764279</v>
      </c>
      <c r="X613">
        <f>((X572-X571)/X571)*100</f>
        <v>0.24798512089273234</v>
      </c>
      <c r="Y613">
        <f>((Y572-Y571)/Y571)*100</f>
        <v>0.75809786354238073</v>
      </c>
      <c r="Z613">
        <f>((Z572-Z571)/Z571)*100</f>
        <v>0.72607260726072231</v>
      </c>
      <c r="AA613">
        <f>((AA572-AA571)/AA571)*100</f>
        <v>0.43887147335422488</v>
      </c>
      <c r="AB613">
        <f>((AB572-AB571)/AB571)*100</f>
        <v>-1.2836970474967906</v>
      </c>
      <c r="AC613">
        <f>((AC572-AC571)/AC571)*100</f>
        <v>0.26075619295958646</v>
      </c>
    </row>
    <row r="614" spans="1:29" x14ac:dyDescent="0.35">
      <c r="A614" t="s">
        <v>34</v>
      </c>
      <c r="B614">
        <v>2021</v>
      </c>
      <c r="C614" t="s">
        <v>37</v>
      </c>
      <c r="D614">
        <f>((D573-D572)/D572)*100</f>
        <v>0.13879250520473077</v>
      </c>
      <c r="E614">
        <f>((E573-E572)/E572)*100</f>
        <v>3.0176899063475608</v>
      </c>
      <c r="F614">
        <f>((F573-F572)/F572)*100</f>
        <v>0.48840048840047801</v>
      </c>
      <c r="G614">
        <f>((G573-G572)/G572)*100</f>
        <v>0.32278889606197547</v>
      </c>
      <c r="H614">
        <f>((H573-H572)/H572)*100</f>
        <v>3.7827943868212257</v>
      </c>
      <c r="I614">
        <f>((I573-I572)/I572)*100</f>
        <v>6.9616135328562256</v>
      </c>
      <c r="J614">
        <f>((J573-J572)/J572)*100</f>
        <v>-3.612040133779268</v>
      </c>
      <c r="K614">
        <f>((K573-K572)/K572)*100</f>
        <v>1.1889862327909744</v>
      </c>
      <c r="L614">
        <f>((L573-L572)/L572)*100</f>
        <v>0.44404973357015992</v>
      </c>
      <c r="M614">
        <f>((M573-M572)/M572)*100</f>
        <v>0.24464831804281695</v>
      </c>
      <c r="N614">
        <f>((N573-N572)/N572)*100</f>
        <v>0.70287539936101873</v>
      </c>
      <c r="O614">
        <f>((O573-O572)/O572)*100</f>
        <v>0.41617122473247153</v>
      </c>
      <c r="P614">
        <f>((P573-P572)/P572)*100</f>
        <v>0.82961072112317258</v>
      </c>
      <c r="Q614">
        <f>((Q573-Q572)/Q572)*100</f>
        <v>0.37214247740564438</v>
      </c>
      <c r="R614">
        <f>((R573-R572)/R572)*100</f>
        <v>0.6337135614702154</v>
      </c>
      <c r="S614">
        <f>((S573-S572)/S572)*100</f>
        <v>0.40567951318458034</v>
      </c>
      <c r="T614">
        <f>((T573-T572)/T572)*100</f>
        <v>0.57544757033248439</v>
      </c>
      <c r="U614">
        <f>((U573-U572)/U572)*100</f>
        <v>0.9380863039399624</v>
      </c>
      <c r="V614">
        <f>((V573-V572)/V572)*100</f>
        <v>6.4308681672022069E-2</v>
      </c>
      <c r="W614">
        <f>((W573-W572)/W572)*100</f>
        <v>0.3968253968254119</v>
      </c>
      <c r="X614">
        <f>((X573-X572)/X572)*100</f>
        <v>0.3710575139146709</v>
      </c>
      <c r="Y614">
        <f>((Y573-Y572)/Y572)*100</f>
        <v>0.27359781121751414</v>
      </c>
      <c r="Z614">
        <f>((Z573-Z572)/Z572)*100</f>
        <v>0.39318479685451796</v>
      </c>
      <c r="AA614">
        <f>((AA573-AA572)/AA572)*100</f>
        <v>6.2421972534346275E-2</v>
      </c>
      <c r="AB614">
        <f>((AB573-AB572)/AB572)*100</f>
        <v>1.0403120936280845</v>
      </c>
      <c r="AC614">
        <f>((AC573-AC572)/AC572)*100</f>
        <v>0.39011703511052942</v>
      </c>
    </row>
    <row r="615" spans="1:29" x14ac:dyDescent="0.35">
      <c r="A615" t="s">
        <v>34</v>
      </c>
      <c r="B615">
        <v>2021</v>
      </c>
      <c r="C615" t="s">
        <v>38</v>
      </c>
      <c r="D615">
        <f>((D574-D573)/D573)*100</f>
        <v>1.386001386001386</v>
      </c>
      <c r="E615">
        <f>((E574-E573)/E573)*100</f>
        <v>1.2626262626262625</v>
      </c>
      <c r="F615">
        <f>((F574-F573)/F573)*100</f>
        <v>3.4629404617254056</v>
      </c>
      <c r="G615">
        <f>((G574-G573)/G573)*100</f>
        <v>0.45045045045044318</v>
      </c>
      <c r="H615">
        <f>((H574-H573)/H573)*100</f>
        <v>5.0558495002939416</v>
      </c>
      <c r="I615">
        <f>((I574-I573)/I573)*100</f>
        <v>1.6423357664233509</v>
      </c>
      <c r="J615">
        <f>((J574-J573)/J573)*100</f>
        <v>2.6370575988896681</v>
      </c>
      <c r="K615">
        <f>((K574-K573)/K573)*100</f>
        <v>2.2881880024737273</v>
      </c>
      <c r="L615">
        <f>((L574-L573)/L573)*100</f>
        <v>1.503094606542885</v>
      </c>
      <c r="M615">
        <f>((M574-M573)/M573)*100</f>
        <v>2.6235509456985864</v>
      </c>
      <c r="N615">
        <f>((N574-N573)/N573)*100</f>
        <v>1.0786802030456961</v>
      </c>
      <c r="O615">
        <f>((O574-O573)/O573)*100</f>
        <v>0.88809946714031962</v>
      </c>
      <c r="P615">
        <f>((P574-P573)/P573)*100</f>
        <v>1.7088607594936638</v>
      </c>
      <c r="Q615">
        <f>((Q574-Q573)/Q573)*100</f>
        <v>1.6419491525423699</v>
      </c>
      <c r="R615">
        <f>((R574-R573)/R573)*100</f>
        <v>1.8891687657430729</v>
      </c>
      <c r="S615">
        <f>((S574-S573)/S573)*100</f>
        <v>2.4242424242424203</v>
      </c>
      <c r="T615">
        <f>((T574-T573)/T573)*100</f>
        <v>1.9707565162110579</v>
      </c>
      <c r="U615">
        <f>((U574-U573)/U573)*100</f>
        <v>0.12391573729862988</v>
      </c>
      <c r="V615">
        <f>((V574-V573)/V573)*100</f>
        <v>2.4421593830334265</v>
      </c>
      <c r="W615">
        <f>((W574-W573)/W573)*100</f>
        <v>1.9104084321475474</v>
      </c>
      <c r="X615">
        <f>((X574-X573)/X573)*100</f>
        <v>2.1565003080714726</v>
      </c>
      <c r="Y615">
        <f>((Y574-Y573)/Y573)*100</f>
        <v>1.5688949522510309</v>
      </c>
      <c r="Z615">
        <f>((Z574-Z573)/Z573)*100</f>
        <v>1.6971279373368298</v>
      </c>
      <c r="AA615">
        <f>((AA574-AA573)/AA573)*100</f>
        <v>0.56144728633810181</v>
      </c>
      <c r="AB615">
        <f>((AB574-AB573)/AB573)*100</f>
        <v>2.0592020592020517</v>
      </c>
      <c r="AC615">
        <f>((AC574-AC573)/AC573)*100</f>
        <v>1.5544041450777237</v>
      </c>
    </row>
    <row r="616" spans="1:29" x14ac:dyDescent="0.35">
      <c r="A616" t="s">
        <v>34</v>
      </c>
      <c r="B616">
        <v>2021</v>
      </c>
      <c r="C616" t="s">
        <v>39</v>
      </c>
      <c r="D616">
        <f>((D575-D574)/D574)*100</f>
        <v>0.27341079972657367</v>
      </c>
      <c r="E616">
        <f>((E575-E574)/E574)*100</f>
        <v>0.74812967581047385</v>
      </c>
      <c r="F616">
        <f>((F575-F574)/F574)*100</f>
        <v>6.1068702290076198</v>
      </c>
      <c r="G616">
        <f>((G575-G574)/G574)*100</f>
        <v>6.4061499039073877E-2</v>
      </c>
      <c r="H616">
        <f>((H575-H574)/H574)*100</f>
        <v>2.7979854504756578</v>
      </c>
      <c r="I616">
        <f>((I575-I574)/I574)*100</f>
        <v>-1.4961101137043686</v>
      </c>
      <c r="J616">
        <f>((J575-J574)/J574)*100</f>
        <v>5.0709939148073024</v>
      </c>
      <c r="K616">
        <f>((K575-K574)/K574)*100</f>
        <v>0.36275695284159265</v>
      </c>
      <c r="L616">
        <f>((L575-L574)/L574)*100</f>
        <v>0.26132404181184427</v>
      </c>
      <c r="M616">
        <f>((M575-M574)/M574)*100</f>
        <v>0.17835909631391877</v>
      </c>
      <c r="N616">
        <f>((N575-N574)/N574)*100</f>
        <v>0.43942247332077122</v>
      </c>
      <c r="O616">
        <f>((O575-O574)/O574)*100</f>
        <v>1.1737089201877933</v>
      </c>
      <c r="P616">
        <f>((P575-P574)/P574)*100</f>
        <v>1.1823273179838243</v>
      </c>
      <c r="Q616">
        <f>((Q575-Q574)/Q574)*100</f>
        <v>-0.57321521625846494</v>
      </c>
      <c r="R616">
        <f>((R575-R574)/R574)*100</f>
        <v>0.24721878862792165</v>
      </c>
      <c r="S616">
        <f>((S575-S574)/S574)*100</f>
        <v>-0.19723865877710908</v>
      </c>
      <c r="T616">
        <f>((T575-T574)/T574)*100</f>
        <v>0.18703241895260783</v>
      </c>
      <c r="U616">
        <f>((U575-U574)/U574)*100</f>
        <v>-0.68069306930692719</v>
      </c>
      <c r="V616">
        <f>((V575-V574)/V574)*100</f>
        <v>0.25094102885822184</v>
      </c>
      <c r="W616">
        <f>((W575-W574)/W574)*100</f>
        <v>6.464124111184405E-2</v>
      </c>
      <c r="X616">
        <f>((X575-X574)/X574)*100</f>
        <v>0.30156815440289503</v>
      </c>
      <c r="Y616">
        <f>((Y575-Y574)/Y574)*100</f>
        <v>1.2088650100738636</v>
      </c>
      <c r="Z616">
        <f>((Z575-Z574)/Z574)*100</f>
        <v>-0.57766367137355945</v>
      </c>
      <c r="AA616">
        <f>((AA575-AA574)/AA574)*100</f>
        <v>0.3101736972704715</v>
      </c>
      <c r="AB616">
        <f>((AB575-AB574)/AB574)*100</f>
        <v>0.12610340479194013</v>
      </c>
      <c r="AC616">
        <f>((AC575-AC574)/AC574)*100</f>
        <v>0.51020408163264219</v>
      </c>
    </row>
    <row r="617" spans="1:29" x14ac:dyDescent="0.35">
      <c r="A617" t="s">
        <v>34</v>
      </c>
      <c r="B617">
        <v>2021</v>
      </c>
      <c r="C617" t="s">
        <v>40</v>
      </c>
      <c r="D617">
        <f>((D576-D575)/D575)*100</f>
        <v>-0.20449897750510088</v>
      </c>
      <c r="E617">
        <f>((E576-E575)/E575)*100</f>
        <v>2.3762376237623819</v>
      </c>
      <c r="F617">
        <f>((F576-F575)/F575)*100</f>
        <v>0.83010514665190926</v>
      </c>
      <c r="G617">
        <f>((G576-G575)/G575)*100</f>
        <v>0.83226632522407895</v>
      </c>
      <c r="H617">
        <f>((H576-H575)/H575)*100</f>
        <v>-0.87098530212302361</v>
      </c>
      <c r="I617">
        <f>((I576-I575)/I575)*100</f>
        <v>-0.42527339003644515</v>
      </c>
      <c r="J617">
        <f>((J576-J575)/J575)*100</f>
        <v>5.6628056628056518</v>
      </c>
      <c r="K617">
        <f>((K576-K575)/K575)*100</f>
        <v>-1.2048192771084338</v>
      </c>
      <c r="L617">
        <f>((L576-L575)/L575)*100</f>
        <v>-0.5212858384013852</v>
      </c>
      <c r="M617">
        <f>((M576-M575)/M575)*100</f>
        <v>-0.1186943620177974</v>
      </c>
      <c r="N617">
        <f>((N576-N575)/N575)*100</f>
        <v>0.56250000000000355</v>
      </c>
      <c r="O617">
        <f>((O576-O575)/O575)*100</f>
        <v>-0.11600928074246927</v>
      </c>
      <c r="P617">
        <f>((P576-P575)/P575)*100</f>
        <v>0.86100861008610452</v>
      </c>
      <c r="Q617">
        <f>((Q576-Q575)/Q575)*100</f>
        <v>0.20964360587000905</v>
      </c>
      <c r="R617">
        <f>((R576-R575)/R575)*100</f>
        <v>0.36991368680642589</v>
      </c>
      <c r="S617">
        <f>((S576-S575)/S575)*100</f>
        <v>0.85638998682475809</v>
      </c>
      <c r="T617">
        <f>((T576-T575)/T575)*100</f>
        <v>0.43559427504668141</v>
      </c>
      <c r="U617">
        <f>((U576-U575)/U575)*100</f>
        <v>0.62305295950155759</v>
      </c>
      <c r="V617">
        <f>((V576-V575)/V575)*100</f>
        <v>0.56320400500624357</v>
      </c>
      <c r="W617">
        <f>((W576-W575)/W575)*100</f>
        <v>0.64599483204134367</v>
      </c>
      <c r="X617">
        <f>((X576-X575)/X575)*100</f>
        <v>0.42092603728201361</v>
      </c>
      <c r="Y617">
        <f>((Y576-Y575)/Y575)*100</f>
        <v>1.5925680159256841</v>
      </c>
      <c r="Z617">
        <f>((Z576-Z575)/Z575)*100</f>
        <v>0.25823111684958405</v>
      </c>
      <c r="AA617">
        <f>((AA576-AA575)/AA575)*100</f>
        <v>0.927643784786642</v>
      </c>
      <c r="AB617">
        <f>((AB576-AB575)/AB575)*100</f>
        <v>0.8186397984886542</v>
      </c>
      <c r="AC617">
        <f>((AC576-AC575)/AC575)*100</f>
        <v>0.88832487309645036</v>
      </c>
    </row>
    <row r="618" spans="1:29" x14ac:dyDescent="0.35">
      <c r="A618" t="s">
        <v>34</v>
      </c>
      <c r="B618">
        <v>2021</v>
      </c>
      <c r="C618" t="s">
        <v>41</v>
      </c>
      <c r="D618">
        <f>((D577-D576)/D576)*100</f>
        <v>0.13661202185791574</v>
      </c>
      <c r="E618">
        <f>((E577-E576)/E576)*100</f>
        <v>-1.3539651837524231</v>
      </c>
      <c r="F618">
        <f>((F577-F576)/F576)*100</f>
        <v>-5.1591657519209537</v>
      </c>
      <c r="G618">
        <f>((G577-G576)/G576)*100</f>
        <v>0.57142857142857506</v>
      </c>
      <c r="H618">
        <f>((H577-H576)/H576)*100</f>
        <v>3.2399780340472297</v>
      </c>
      <c r="I618">
        <f>((I577-I576)/I576)*100</f>
        <v>-4.3319097010372145</v>
      </c>
      <c r="J618">
        <f>((J577-J576)/J576)*100</f>
        <v>-1.2180267965895251</v>
      </c>
      <c r="K618">
        <f>((K577-K576)/K576)*100</f>
        <v>6.097560975609409E-2</v>
      </c>
      <c r="L618">
        <f>((L577-L576)/L576)*100</f>
        <v>4.5414847161572078</v>
      </c>
      <c r="M618">
        <f>((M577-M576)/M576)*100</f>
        <v>0.29708853238265004</v>
      </c>
      <c r="N618">
        <f>((N577-N576)/N576)*100</f>
        <v>1.1187072715972548</v>
      </c>
      <c r="O618">
        <f>((O577-O576)/O576)*100</f>
        <v>0.98722415795587515</v>
      </c>
      <c r="P618">
        <f>((P577-P576)/P576)*100</f>
        <v>0</v>
      </c>
      <c r="Q618">
        <f>((Q577-Q576)/Q576)*100</f>
        <v>0.47071129707113268</v>
      </c>
      <c r="R618">
        <f>((R577-R576)/R576)*100</f>
        <v>1.0442260442260372</v>
      </c>
      <c r="S618">
        <f>((S577-S576)/S576)*100</f>
        <v>1.4369693011103966</v>
      </c>
      <c r="T618">
        <f>((T577-T576)/T576)*100</f>
        <v>1.1152416356877217</v>
      </c>
      <c r="U618">
        <f>((U577-U576)/U576)*100</f>
        <v>0.37151702786377355</v>
      </c>
      <c r="V618">
        <f>((V577-V576)/V576)*100</f>
        <v>1.1823273179838243</v>
      </c>
      <c r="W618">
        <f>((W577-W576)/W576)*100</f>
        <v>1.0911424903722649</v>
      </c>
      <c r="X618">
        <f>((X577-X576)/X576)*100</f>
        <v>0.83832335329341656</v>
      </c>
      <c r="Y618">
        <f>((Y577-Y576)/Y576)*100</f>
        <v>0.58785107772697953</v>
      </c>
      <c r="Z618">
        <f>((Z577-Z576)/Z576)*100</f>
        <v>1.4810045074050113</v>
      </c>
      <c r="AA618">
        <f>((AA577-AA576)/AA576)*100</f>
        <v>0.36764705882354337</v>
      </c>
      <c r="AB618">
        <f>((AB577-AB576)/AB576)*100</f>
        <v>-6.2460961898809696E-2</v>
      </c>
      <c r="AC618">
        <f>((AC577-AC576)/AC576)*100</f>
        <v>0.62893081761006298</v>
      </c>
    </row>
    <row r="619" spans="1:29" x14ac:dyDescent="0.35">
      <c r="A619" t="s">
        <v>34</v>
      </c>
      <c r="B619">
        <v>2021</v>
      </c>
      <c r="C619" t="s">
        <v>42</v>
      </c>
      <c r="D619">
        <f>((D578-D577)/D577)*100</f>
        <v>0</v>
      </c>
      <c r="E619">
        <f>((E578-E577)/E577)*100</f>
        <v>0</v>
      </c>
      <c r="F619">
        <f>((F578-F577)/F577)*100</f>
        <v>0</v>
      </c>
      <c r="G619">
        <f>((G578-G577)/G577)*100</f>
        <v>0</v>
      </c>
      <c r="H619">
        <f>((H578-H577)/H577)*100</f>
        <v>0</v>
      </c>
      <c r="I619">
        <f>((I578-I577)/I577)*100</f>
        <v>-6.3775510204096136E-2</v>
      </c>
      <c r="J619">
        <f>((J578-J577)/J577)*100</f>
        <v>6.1652281134415995E-2</v>
      </c>
      <c r="K619">
        <f>((K578-K577)/K577)*100</f>
        <v>0</v>
      </c>
      <c r="L619">
        <f>((L578-L577)/L577)*100</f>
        <v>0</v>
      </c>
      <c r="M619">
        <f>((M578-M577)/M577)*100</f>
        <v>0</v>
      </c>
      <c r="N619">
        <f>((N578-N577)/N577)*100</f>
        <v>0</v>
      </c>
      <c r="O619">
        <f>((O578-O577)/O577)*100</f>
        <v>0</v>
      </c>
      <c r="P619">
        <f>((P578-P577)/P577)*100</f>
        <v>0</v>
      </c>
      <c r="Q619">
        <f>((Q578-Q577)/Q577)*100</f>
        <v>0</v>
      </c>
      <c r="R619">
        <f>((R578-R577)/R577)*100</f>
        <v>6.0790273556227549E-2</v>
      </c>
      <c r="S619">
        <f>((S578-S577)/S577)*100</f>
        <v>0</v>
      </c>
      <c r="T619">
        <f>((T578-T577)/T577)*100</f>
        <v>6.1274509803935499E-2</v>
      </c>
      <c r="U619">
        <f>((U578-U577)/U577)*100</f>
        <v>0</v>
      </c>
      <c r="V619">
        <f>((V578-V577)/V577)*100</f>
        <v>0</v>
      </c>
      <c r="W619">
        <f>((W578-W577)/W577)*100</f>
        <v>0</v>
      </c>
      <c r="X619">
        <f>((X578-X577)/X577)*100</f>
        <v>0</v>
      </c>
      <c r="Y619">
        <f>((Y578-Y577)/Y577)*100</f>
        <v>0</v>
      </c>
      <c r="Z619">
        <f>((Z578-Z577)/Z577)*100</f>
        <v>6.3451776649742594E-2</v>
      </c>
      <c r="AA619">
        <f>((AA578-AA577)/AA577)*100</f>
        <v>-6.1050061050074926E-2</v>
      </c>
      <c r="AB619">
        <f>((AB578-AB577)/AB577)*100</f>
        <v>0</v>
      </c>
      <c r="AC619">
        <f>((AC578-AC577)/AC577)*100</f>
        <v>0</v>
      </c>
    </row>
    <row r="620" spans="1:29" x14ac:dyDescent="0.35">
      <c r="A620" t="s">
        <v>34</v>
      </c>
      <c r="B620">
        <v>2021</v>
      </c>
      <c r="C620" t="s">
        <v>43</v>
      </c>
      <c r="D620">
        <f>((D579-D578)/D578)*100</f>
        <v>0.54570259208732019</v>
      </c>
      <c r="E620">
        <f>((E579-E578)/E578)*100</f>
        <v>0.29411764705882076</v>
      </c>
      <c r="F620">
        <f>((F579-F578)/F578)*100</f>
        <v>-0.92592592592593903</v>
      </c>
      <c r="G620">
        <f>((G579-G578)/G578)*100</f>
        <v>0.18939393939392862</v>
      </c>
      <c r="H620">
        <f>((H579-H578)/H578)*100</f>
        <v>1.3829787234042523</v>
      </c>
      <c r="I620">
        <f>((I579-I578)/I578)*100</f>
        <v>-0.63816209317166561</v>
      </c>
      <c r="J620">
        <f>((J579-J578)/J578)*100</f>
        <v>14.171287738755389</v>
      </c>
      <c r="K620">
        <f>((K579-K578)/K578)*100</f>
        <v>0.67032297379646211</v>
      </c>
      <c r="L620">
        <f>((L579-L578)/L578)*100</f>
        <v>1.8379281537176297</v>
      </c>
      <c r="M620">
        <f>((M579-M578)/M578)*100</f>
        <v>0.29620853080568721</v>
      </c>
      <c r="N620">
        <f>((N579-N578)/N578)*100</f>
        <v>0.30731407498463431</v>
      </c>
      <c r="O620">
        <f>((O579-O578)/O578)*100</f>
        <v>0.4600345025876843</v>
      </c>
      <c r="P620">
        <f>((P579-P578)/P578)*100</f>
        <v>2.2560975609756029</v>
      </c>
      <c r="Q620">
        <f>((Q579-Q578)/Q578)*100</f>
        <v>0.31233732431025213</v>
      </c>
      <c r="R620">
        <f>((R579-R578)/R578)*100</f>
        <v>0.66828675577156404</v>
      </c>
      <c r="S620">
        <f>((S579-S578)/S578)*100</f>
        <v>0.64391500321957496</v>
      </c>
      <c r="T620">
        <f>((T579-T578)/T578)*100</f>
        <v>0.61236987140232702</v>
      </c>
      <c r="U620">
        <f>((U579-U578)/U578)*100</f>
        <v>0.92535471930906854</v>
      </c>
      <c r="V620">
        <f>((V579-V578)/V578)*100</f>
        <v>0.98400984009839754</v>
      </c>
      <c r="W620">
        <f>((W579-W578)/W578)*100</f>
        <v>0.57142857142857506</v>
      </c>
      <c r="X620">
        <f>((X579-X578)/X578)*100</f>
        <v>0.41567695961994572</v>
      </c>
      <c r="Y620">
        <f>((Y579-Y578)/Y578)*100</f>
        <v>1.1038961038960964</v>
      </c>
      <c r="Z620">
        <f>((Z579-Z578)/Z578)*100</f>
        <v>0.57070386810399865</v>
      </c>
      <c r="AA620">
        <f>((AA579-AA578)/AA578)*100</f>
        <v>0.12217470983507457</v>
      </c>
      <c r="AB620">
        <f>((AB579-AB578)/AB578)*100</f>
        <v>0.50000000000000711</v>
      </c>
      <c r="AC620">
        <f>((AC579-AC578)/AC578)*100</f>
        <v>0.625</v>
      </c>
    </row>
    <row r="621" spans="1:29" x14ac:dyDescent="0.35">
      <c r="A621" t="s">
        <v>34</v>
      </c>
      <c r="B621">
        <v>2021</v>
      </c>
      <c r="C621" t="s">
        <v>45</v>
      </c>
      <c r="D621">
        <f>((D580-D579)/D579)*100</f>
        <v>0.54274084124829236</v>
      </c>
      <c r="E621">
        <f>((E580-E579)/E579)*100</f>
        <v>-1.466275659824047</v>
      </c>
      <c r="F621">
        <f>((F580-F579)/F579)*100</f>
        <v>1.0514018691588851</v>
      </c>
      <c r="G621">
        <f>((G580-G579)/G579)*100</f>
        <v>0.37807183364840757</v>
      </c>
      <c r="H621">
        <f>((H580-H579)/H579)*100</f>
        <v>-0.26232948583420779</v>
      </c>
      <c r="I621">
        <f>((I580-I579)/I579)*100</f>
        <v>0.51380860629416281</v>
      </c>
      <c r="J621">
        <f>((J580-J579)/J579)*100</f>
        <v>7.501349163518606</v>
      </c>
      <c r="K621">
        <f>((K580-K579)/K579)*100</f>
        <v>6.0532687651345493E-2</v>
      </c>
      <c r="L621">
        <f>((L580-L579)/L579)*100</f>
        <v>0.41017227235438886</v>
      </c>
      <c r="M621">
        <f>((M580-M579)/M579)*100</f>
        <v>0.17720023626697159</v>
      </c>
      <c r="N621">
        <f>((N580-N579)/N579)*100</f>
        <v>0.30637254901960786</v>
      </c>
      <c r="O621">
        <f>((O580-O579)/O579)*100</f>
        <v>0.45792787635947996</v>
      </c>
      <c r="P621">
        <f>((P580-P579)/P579)*100</f>
        <v>1.1926058437686344</v>
      </c>
      <c r="Q621">
        <f>((Q580-Q579)/Q579)*100</f>
        <v>0.10378827192528131</v>
      </c>
      <c r="R621">
        <f>((R580-R579)/R579)*100</f>
        <v>0.9052504526252263</v>
      </c>
      <c r="S621">
        <f>((S580-S579)/S579)*100</f>
        <v>0.70377479206653504</v>
      </c>
      <c r="T621">
        <f>((T580-T579)/T579)*100</f>
        <v>0.91296409007912349</v>
      </c>
      <c r="U621">
        <f>((U580-U579)/U579)*100</f>
        <v>0.36674816625916523</v>
      </c>
      <c r="V621">
        <f>((V580-V579)/V579)*100</f>
        <v>-0.18270401948841836</v>
      </c>
      <c r="W621">
        <f>((W580-W579)/W579)*100</f>
        <v>0.56818181818182178</v>
      </c>
      <c r="X621">
        <f>((X580-X579)/X579)*100</f>
        <v>0.47309284447073408</v>
      </c>
      <c r="Y621">
        <f>((Y580-Y579)/Y579)*100</f>
        <v>-0.57803468208091024</v>
      </c>
      <c r="Z621">
        <f>((Z580-Z579)/Z579)*100</f>
        <v>0.75662042875158708</v>
      </c>
      <c r="AA621">
        <f>((AA580-AA579)/AA579)*100</f>
        <v>0.24405125076266362</v>
      </c>
      <c r="AB621">
        <f>((AB580-AB579)/AB579)*100</f>
        <v>0.87064676616914005</v>
      </c>
      <c r="AC621">
        <f>((AC580-AC579)/AC579)*100</f>
        <v>0.24844720496894762</v>
      </c>
    </row>
    <row r="622" spans="1:29" x14ac:dyDescent="0.35">
      <c r="A622" t="s">
        <v>34</v>
      </c>
      <c r="B622">
        <v>2021</v>
      </c>
      <c r="C622" t="s">
        <v>46</v>
      </c>
      <c r="D622">
        <f>((D581-D580)/D580)*100</f>
        <v>0.33738191632928477</v>
      </c>
      <c r="E622">
        <f>((E581-E580)/E580)*100</f>
        <v>-1.3888888888888804</v>
      </c>
      <c r="F622">
        <f>((F581-F580)/F580)*100</f>
        <v>2.8323699421965354</v>
      </c>
      <c r="G622">
        <f>((G581-G580)/G580)*100</f>
        <v>0.3766478342749493</v>
      </c>
      <c r="H622">
        <f>((H581-H580)/H580)*100</f>
        <v>-1.3150973172014728</v>
      </c>
      <c r="I622">
        <f>((I581-I580)/I580)*100</f>
        <v>-1.0223642172523926</v>
      </c>
      <c r="J622">
        <f>((J581-J580)/J580)*100</f>
        <v>-5.4718875502007922</v>
      </c>
      <c r="K622">
        <f>((K581-K580)/K580)*100</f>
        <v>-0.54446460980036637</v>
      </c>
      <c r="L622">
        <f>((L581-L580)/L580)*100</f>
        <v>-1.1437908496732072</v>
      </c>
      <c r="M622">
        <f>((M581-M580)/M580)*100</f>
        <v>0.53066037735849392</v>
      </c>
      <c r="N622">
        <f>((N581-N580)/N580)*100</f>
        <v>0.30543677458766039</v>
      </c>
      <c r="O622">
        <f>((O581-O580)/O580)*100</f>
        <v>0.56980056980056981</v>
      </c>
      <c r="P622">
        <f>((P581-P580)/P580)*100</f>
        <v>-0.8839127872716559</v>
      </c>
      <c r="Q622">
        <f>((Q581-Q580)/Q580)*100</f>
        <v>-0.25920165889061691</v>
      </c>
      <c r="R622">
        <f>((R581-R580)/R580)*100</f>
        <v>0.77751196172249482</v>
      </c>
      <c r="S622">
        <f>((S581-S580)/S580)*100</f>
        <v>0.82592121982209854</v>
      </c>
      <c r="T622">
        <f>((T581-T580)/T580)*100</f>
        <v>0.72376357056694118</v>
      </c>
      <c r="U622">
        <f>((U581-U580)/U580)*100</f>
        <v>-0.48721071863579962</v>
      </c>
      <c r="V622">
        <f>((V581-V580)/V580)*100</f>
        <v>0.12202562538132314</v>
      </c>
      <c r="W622">
        <f>((W581-W580)/W580)*100</f>
        <v>0.56497175141241507</v>
      </c>
      <c r="X622">
        <f>((X581-X580)/X580)*100</f>
        <v>0.41200706297821577</v>
      </c>
      <c r="Y622">
        <f>((Y581-Y580)/Y580)*100</f>
        <v>0.58139534883719457</v>
      </c>
      <c r="Z622">
        <f>((Z581-Z580)/Z580)*100</f>
        <v>0.50062578222777399</v>
      </c>
      <c r="AA622">
        <f>((AA581-AA580)/AA580)*100</f>
        <v>6.0864272671938099E-2</v>
      </c>
      <c r="AB622">
        <f>((AB581-AB580)/AB580)*100</f>
        <v>0.24660912453761141</v>
      </c>
      <c r="AC622">
        <f>((AC581-AC580)/AC580)*100</f>
        <v>0.37174721189590726</v>
      </c>
    </row>
    <row r="623" spans="1:29" x14ac:dyDescent="0.35">
      <c r="A623" t="s">
        <v>34</v>
      </c>
      <c r="B623">
        <v>2022</v>
      </c>
      <c r="C623" t="s">
        <v>31</v>
      </c>
      <c r="D623">
        <f>((D582-D581)/D581)*100</f>
        <v>0.53799596503027003</v>
      </c>
      <c r="E623">
        <f>((E582-E581)/E581)*100</f>
        <v>-5.0301810865202579E-2</v>
      </c>
      <c r="F623">
        <f>((F582-F581)/F581)*100</f>
        <v>0.50590219224283628</v>
      </c>
      <c r="G623">
        <f>((G582-G581)/G581)*100</f>
        <v>0.37523452157598142</v>
      </c>
      <c r="H623">
        <f>((H582-H581)/H581)*100</f>
        <v>-1.5458422174840116</v>
      </c>
      <c r="I623">
        <f>((I582-I581)/I581)*100</f>
        <v>-0.7746933505487521</v>
      </c>
      <c r="J623">
        <f>((J582-J581)/J581)*100</f>
        <v>-7.4349442379182147</v>
      </c>
      <c r="K623">
        <f>((K582-K581)/K581)*100</f>
        <v>-0.30413625304136249</v>
      </c>
      <c r="L623">
        <f>((L582-L581)/L581)*100</f>
        <v>-0.82644628099173556</v>
      </c>
      <c r="M623">
        <f>((M582-M581)/M581)*100</f>
        <v>0.93841642228738675</v>
      </c>
      <c r="N623">
        <f>((N582-N581)/N581)*100</f>
        <v>6.09013398294901E-2</v>
      </c>
      <c r="O623">
        <f>((O582-O581)/O581)*100</f>
        <v>0.4532577903682784</v>
      </c>
      <c r="P623">
        <f>((P582-P581)/P581)*100</f>
        <v>-1.070154577883462</v>
      </c>
      <c r="Q623">
        <f>((Q582-Q581)/Q581)*100</f>
        <v>-0.10395010395011281</v>
      </c>
      <c r="R623">
        <f>((R582-R581)/R581)*100</f>
        <v>0.83086053412463245</v>
      </c>
      <c r="S623">
        <f>((S582-S581)/S581)*100</f>
        <v>1.2602394454946442</v>
      </c>
      <c r="T623">
        <f>((T582-T581)/T581)*100</f>
        <v>0.89820359281437123</v>
      </c>
      <c r="U623">
        <f>((U582-U581)/U581)*100</f>
        <v>0.67319461444308093</v>
      </c>
      <c r="V623">
        <f>((V582-V581)/V581)*100</f>
        <v>6.0938452163311584E-2</v>
      </c>
      <c r="W623">
        <f>((W582-W581)/W581)*100</f>
        <v>0.56179775280899236</v>
      </c>
      <c r="X623">
        <f>((X582-X581)/X581)*100</f>
        <v>0.46893317702228099</v>
      </c>
      <c r="Y623">
        <f>((Y582-Y581)/Y581)*100</f>
        <v>0.51380860629416281</v>
      </c>
      <c r="Z623">
        <f>((Z582-Z581)/Z581)*100</f>
        <v>0.37359900373598648</v>
      </c>
      <c r="AA623">
        <f>((AA582-AA581)/AA581)*100</f>
        <v>0.18248175182480714</v>
      </c>
      <c r="AB623">
        <f>((AB582-AB581)/AB581)*100</f>
        <v>0.24600246002460377</v>
      </c>
      <c r="AC623">
        <f>((AC582-AC581)/AC581)*100</f>
        <v>0.4320987654320918</v>
      </c>
    </row>
    <row r="624" spans="1:29" x14ac:dyDescent="0.35">
      <c r="A624" t="s">
        <v>34</v>
      </c>
      <c r="B624">
        <v>2022</v>
      </c>
      <c r="C624" t="s">
        <v>35</v>
      </c>
      <c r="D624">
        <f>((D583-D582)/D582)*100</f>
        <v>0.33444816053511706</v>
      </c>
      <c r="E624">
        <f>((E583-E582)/E582)*100</f>
        <v>0.95621540010065709</v>
      </c>
      <c r="F624">
        <f>((F583-F582)/F582)*100</f>
        <v>-1.6778523489932886</v>
      </c>
      <c r="G624">
        <f>((G583-G582)/G582)*100</f>
        <v>0.12461059190030443</v>
      </c>
      <c r="H624">
        <f>((H583-H582)/H582)*100</f>
        <v>0.1082837033026622</v>
      </c>
      <c r="I624">
        <f>((I583-I582)/I582)*100</f>
        <v>0</v>
      </c>
      <c r="J624">
        <f>((J583-J582)/J582)*100</f>
        <v>-2.6391279403327728</v>
      </c>
      <c r="K624">
        <f>((K583-K582)/K582)*100</f>
        <v>-0.12202562538134049</v>
      </c>
      <c r="L624">
        <f>((L583-L582)/L582)*100</f>
        <v>-0.91666666666666197</v>
      </c>
      <c r="M624">
        <f>((M583-M582)/M582)*100</f>
        <v>1.2783265543288884</v>
      </c>
      <c r="N624">
        <f>((N583-N582)/N582)*100</f>
        <v>0.2434570906877524</v>
      </c>
      <c r="O624">
        <f>((O583-O582)/O582)*100</f>
        <v>0.39481105470952538</v>
      </c>
      <c r="P624">
        <f>((P583-P582)/P582)*100</f>
        <v>-0.12019230769231794</v>
      </c>
      <c r="Q624">
        <f>((Q583-Q582)/Q582)*100</f>
        <v>0.31217481789803475</v>
      </c>
      <c r="R624">
        <f>((R583-R582)/R582)*100</f>
        <v>0.52972336668628939</v>
      </c>
      <c r="S624">
        <f>((S583-S582)/S582)*100</f>
        <v>1.0578718108276397</v>
      </c>
      <c r="T624">
        <f>((T583-T582)/T582)*100</f>
        <v>0.65281899109791952</v>
      </c>
      <c r="U624">
        <f>((U583-U582)/U582)*100</f>
        <v>0.60790273556231</v>
      </c>
      <c r="V624">
        <f>((V583-V582)/V582)*100</f>
        <v>0.91352009744214369</v>
      </c>
      <c r="W624">
        <f>((W583-W582)/W582)*100</f>
        <v>0.43451272501552896</v>
      </c>
      <c r="X624">
        <f>((X583-X582)/X582)*100</f>
        <v>0.46674445740955833</v>
      </c>
      <c r="Y624">
        <f>((Y583-Y582)/Y582)*100</f>
        <v>0.25559105431310269</v>
      </c>
      <c r="Z624">
        <f>((Z583-Z582)/Z582)*100</f>
        <v>0.55831265508685213</v>
      </c>
      <c r="AA624">
        <f>((AA583-AA582)/AA582)*100</f>
        <v>0.42501517911355013</v>
      </c>
      <c r="AB624">
        <f>((AB583-AB582)/AB582)*100</f>
        <v>0.85889570552147598</v>
      </c>
      <c r="AC624">
        <f>((AC583-AC582)/AC582)*100</f>
        <v>0.49170251997542186</v>
      </c>
    </row>
    <row r="625" spans="1:29" x14ac:dyDescent="0.35">
      <c r="A625" t="s">
        <v>34</v>
      </c>
      <c r="B625">
        <v>2022</v>
      </c>
      <c r="C625" t="s">
        <v>36</v>
      </c>
      <c r="D625">
        <f>((D584-D583)/D583)*100</f>
        <v>0.86666666666667425</v>
      </c>
      <c r="E625">
        <f>((E584-E583)/E583)*100</f>
        <v>5.0348953140578239</v>
      </c>
      <c r="F625">
        <f>((F584-F583)/F583)*100</f>
        <v>-4.5506257110352673</v>
      </c>
      <c r="G625">
        <f>((G584-G583)/G583)*100</f>
        <v>0.93341630367143757</v>
      </c>
      <c r="H625">
        <f>((H584-H583)/H583)*100</f>
        <v>5.2460789616008592</v>
      </c>
      <c r="I625">
        <f>((I584-I583)/I583)*100</f>
        <v>2.5374105400130165</v>
      </c>
      <c r="J625">
        <f>((J584-J583)/J583)*100</f>
        <v>-1.6499705362404145</v>
      </c>
      <c r="K625">
        <f>((K584-K583)/K583)*100</f>
        <v>0.12217470983507457</v>
      </c>
      <c r="L625">
        <f>((L584-L583)/L583)*100</f>
        <v>-8.4104289318762418E-2</v>
      </c>
      <c r="M625">
        <f>((M584-M583)/M583)*100</f>
        <v>1.7785427423981606</v>
      </c>
      <c r="N625">
        <f>((N584-N583)/N583)*100</f>
        <v>0.36429872495447652</v>
      </c>
      <c r="O625">
        <f>((O584-O583)/O583)*100</f>
        <v>0.73033707865169173</v>
      </c>
      <c r="P625">
        <f>((P584-P583)/P583)*100</f>
        <v>1.3237063778580127</v>
      </c>
      <c r="Q625">
        <f>((Q584-Q583)/Q583)*100</f>
        <v>0.46680497925310022</v>
      </c>
      <c r="R625">
        <f>((R584-R583)/R583)*100</f>
        <v>0.76112412177984945</v>
      </c>
      <c r="S625">
        <f>((S584-S583)/S583)*100</f>
        <v>1.3546798029556579</v>
      </c>
      <c r="T625">
        <f>((T584-T583)/T583)*100</f>
        <v>0.88443396226415094</v>
      </c>
      <c r="U625">
        <f>((U584-U583)/U583)*100</f>
        <v>-0.12084592145014418</v>
      </c>
      <c r="V625">
        <f>((V584-V583)/V583)*100</f>
        <v>0.9052504526252263</v>
      </c>
      <c r="W625">
        <f>((W584-W583)/W583)*100</f>
        <v>0.61804697156983934</v>
      </c>
      <c r="X625">
        <f>((X584-X583)/X583)*100</f>
        <v>0.46457607433217851</v>
      </c>
      <c r="Y625">
        <f>((Y584-Y583)/Y583)*100</f>
        <v>0.63734862970044615</v>
      </c>
      <c r="Z625">
        <f>((Z584-Z583)/Z583)*100</f>
        <v>0.74028377544726531</v>
      </c>
      <c r="AA625">
        <f>((AA584-AA583)/AA583)*100</f>
        <v>0.36275695284159265</v>
      </c>
      <c r="AB625">
        <f>((AB584-AB583)/AB583)*100</f>
        <v>1.7031630170316197</v>
      </c>
      <c r="AC625">
        <f>((AC584-AC583)/AC583)*100</f>
        <v>0.67278287461773356</v>
      </c>
    </row>
    <row r="626" spans="1:29" x14ac:dyDescent="0.35">
      <c r="A626" t="s">
        <v>34</v>
      </c>
      <c r="B626">
        <v>2022</v>
      </c>
      <c r="C626" t="s">
        <v>37</v>
      </c>
      <c r="D626">
        <f>((D585-D584)/D584)*100</f>
        <v>1.0575016523463279</v>
      </c>
      <c r="E626">
        <f>((E585-E584)/E584)*100</f>
        <v>0.52206929283342318</v>
      </c>
      <c r="F626">
        <f>((F585-F584)/F584)*100</f>
        <v>-1.9666269368295657</v>
      </c>
      <c r="G626">
        <f>((G585-G584)/G584)*100</f>
        <v>1.0480887792848441</v>
      </c>
      <c r="H626">
        <f>((H585-H584)/H584)*100</f>
        <v>2.5179856115107944</v>
      </c>
      <c r="I626">
        <f>((I585-I584)/I584)*100</f>
        <v>9.5177664974619294</v>
      </c>
      <c r="J626">
        <f>((J585-J584)/J584)*100</f>
        <v>-0.41941282204914143</v>
      </c>
      <c r="K626">
        <f>((K585-K584)/K584)*100</f>
        <v>0.48810250152530987</v>
      </c>
      <c r="L626">
        <f>((L585-L584)/L584)*100</f>
        <v>0.16835016835017075</v>
      </c>
      <c r="M626">
        <f>((M585-M584)/M584)*100</f>
        <v>2.1984216459977484</v>
      </c>
      <c r="N626">
        <f>((N585-N584)/N584)*100</f>
        <v>0.54446460980034916</v>
      </c>
      <c r="O626">
        <f>((O585-O584)/O584)*100</f>
        <v>0.89235917456776026</v>
      </c>
      <c r="P626">
        <f>((P585-P584)/P584)*100</f>
        <v>1.425178147268412</v>
      </c>
      <c r="Q626">
        <f>((Q585-Q584)/Q584)*100</f>
        <v>0.10325245224574965</v>
      </c>
      <c r="R626">
        <f>((R585-R584)/R584)*100</f>
        <v>1.0459035444509073</v>
      </c>
      <c r="S626">
        <f>((S585-S584)/S584)*100</f>
        <v>1.1543134872418017</v>
      </c>
      <c r="T626">
        <f>((T585-T584)/T584)*100</f>
        <v>0.9935710111046272</v>
      </c>
      <c r="U626">
        <f>((U585-U584)/U584)*100</f>
        <v>1.0284331518451231</v>
      </c>
      <c r="V626">
        <f>((V585-V584)/V584)*100</f>
        <v>2.9904306220095696</v>
      </c>
      <c r="W626">
        <f>((W585-W584)/W584)*100</f>
        <v>0.7371007371007301</v>
      </c>
      <c r="X626">
        <f>((X585-X584)/X584)*100</f>
        <v>0.57803468208092479</v>
      </c>
      <c r="Y626">
        <f>((Y585-Y584)/Y584)*100</f>
        <v>2.9765674477517345</v>
      </c>
      <c r="Z626">
        <f>((Z585-Z584)/Z584)*100</f>
        <v>0.6736068585425562</v>
      </c>
      <c r="AA626">
        <f>((AA585-AA584)/AA584)*100</f>
        <v>0.54216867469879859</v>
      </c>
      <c r="AB626">
        <f>((AB585-AB584)/AB584)*100</f>
        <v>0.95693779904307585</v>
      </c>
      <c r="AC626">
        <f>((AC585-AC584)/AC584)*100</f>
        <v>1.3365735115431452</v>
      </c>
    </row>
    <row r="627" spans="1:29" x14ac:dyDescent="0.35">
      <c r="A627" t="s">
        <v>34</v>
      </c>
      <c r="B627">
        <v>2022</v>
      </c>
      <c r="C627" t="s">
        <v>38</v>
      </c>
      <c r="D627">
        <f>((D586-D585)/D585)*100</f>
        <v>0.7848266841072522</v>
      </c>
      <c r="E627">
        <f>((E586-E585)/E585)*100</f>
        <v>2.4551463644948011</v>
      </c>
      <c r="F627">
        <f>((F586-F585)/F585)*100</f>
        <v>-1.2765957446808476</v>
      </c>
      <c r="G627">
        <f>((G586-G585)/G585)*100</f>
        <v>0.6101281269066503</v>
      </c>
      <c r="H627">
        <f>((H586-H585)/H585)*100</f>
        <v>1.4536340852130354</v>
      </c>
      <c r="I627">
        <f>((I586-I585)/I585)*100</f>
        <v>-0.92699884125144516</v>
      </c>
      <c r="J627">
        <f>((J586-J585)/J585)*100</f>
        <v>5.2346570397112018</v>
      </c>
      <c r="K627">
        <f>((K586-K585)/K585)*100</f>
        <v>0</v>
      </c>
      <c r="L627">
        <f>((L586-L585)/L585)*100</f>
        <v>0.58823529411764952</v>
      </c>
      <c r="M627">
        <f>((M586-M585)/M585)*100</f>
        <v>1.9856591285162681</v>
      </c>
      <c r="N627">
        <f>((N586-N585)/N585)*100</f>
        <v>0.5415162454873681</v>
      </c>
      <c r="O627">
        <f>((O586-O585)/O585)*100</f>
        <v>0.88446655610834402</v>
      </c>
      <c r="P627">
        <f>((P586-P585)/P585)*100</f>
        <v>1.4637002341920373</v>
      </c>
      <c r="Q627">
        <f>((Q586-Q585)/Q585)*100</f>
        <v>0.10314595152139691</v>
      </c>
      <c r="R627">
        <f>((R586-R585)/R585)*100</f>
        <v>0.97757331799884339</v>
      </c>
      <c r="S627">
        <f>((S586-S585)/S585)*100</f>
        <v>1.1411411411411447</v>
      </c>
      <c r="T627">
        <f>((T586-T585)/T585)*100</f>
        <v>1.0416666666666567</v>
      </c>
      <c r="U627">
        <f>((U586-U585)/U585)*100</f>
        <v>0.29940119760479045</v>
      </c>
      <c r="V627">
        <f>((V586-V585)/V585)*100</f>
        <v>1.3937282229965191</v>
      </c>
      <c r="W627">
        <f>((W586-W585)/W585)*100</f>
        <v>0.73170731707316383</v>
      </c>
      <c r="X627">
        <f>((X586-X585)/X585)*100</f>
        <v>0.45977011494253522</v>
      </c>
      <c r="Y627">
        <f>((Y586-Y585)/Y585)*100</f>
        <v>0.24600246002460377</v>
      </c>
      <c r="Z627">
        <f>((Z586-Z585)/Z585)*100</f>
        <v>0.42579075425790058</v>
      </c>
      <c r="AA627">
        <f>((AA586-AA585)/AA585)*100</f>
        <v>0.59916117435590177</v>
      </c>
      <c r="AB627">
        <f>((AB586-AB585)/AB585)*100</f>
        <v>-0.23696682464455313</v>
      </c>
      <c r="AC627">
        <f>((AC586-AC585)/AC585)*100</f>
        <v>0.41966426858512501</v>
      </c>
    </row>
    <row r="628" spans="1:29" x14ac:dyDescent="0.35">
      <c r="A628" t="s">
        <v>34</v>
      </c>
      <c r="B628">
        <v>2022</v>
      </c>
      <c r="C628" t="s">
        <v>39</v>
      </c>
      <c r="D628">
        <f>((D587-D586)/D586)*100</f>
        <v>0.58403634003893945</v>
      </c>
      <c r="E628">
        <f>((E587-E586)/E586)*100</f>
        <v>1.1059907834101408</v>
      </c>
      <c r="F628">
        <f>((F587-F586)/F586)*100</f>
        <v>5.172413793103452</v>
      </c>
      <c r="G628">
        <f>((G587-G586)/G586)*100</f>
        <v>0.54578532443905736</v>
      </c>
      <c r="H628">
        <f>((H587-H586)/H586)*100</f>
        <v>-0.74110671936758887</v>
      </c>
      <c r="I628">
        <f>((I587-I586)/I586)*100</f>
        <v>-0.76023391812866159</v>
      </c>
      <c r="J628">
        <f>((J587-J586)/J586)*100</f>
        <v>4.2309891366495167</v>
      </c>
      <c r="K628">
        <f>((K587-K586)/K586)*100</f>
        <v>-0.24286581663629467</v>
      </c>
      <c r="L628">
        <f>((L587-L586)/L586)*100</f>
        <v>0.16708437761069578</v>
      </c>
      <c r="M628">
        <f>((M587-M586)/M586)*100</f>
        <v>1.1898323418063756</v>
      </c>
      <c r="N628">
        <f>((N587-N586)/N586)*100</f>
        <v>0.47875523638540479</v>
      </c>
      <c r="O628">
        <f>((O587-O586)/O586)*100</f>
        <v>0.76712328767123594</v>
      </c>
      <c r="P628">
        <f>((P587-P586)/P586)*100</f>
        <v>0.92325447201384547</v>
      </c>
      <c r="Q628">
        <f>((Q587-Q586)/Q586)*100</f>
        <v>0.10303967027306392</v>
      </c>
      <c r="R628">
        <f>((R587-R586)/R586)*100</f>
        <v>0.85421412300683375</v>
      </c>
      <c r="S628">
        <f>((S587-S586)/S586)*100</f>
        <v>0.89073634204275531</v>
      </c>
      <c r="T628">
        <f>((T587-T586)/T586)*100</f>
        <v>0.80183276059565045</v>
      </c>
      <c r="U628">
        <f>((U587-U586)/U586)*100</f>
        <v>-0.41791044776118724</v>
      </c>
      <c r="V628">
        <f>((V587-V586)/V586)*100</f>
        <v>0.80183276059565045</v>
      </c>
      <c r="W628">
        <f>((W587-W586)/W586)*100</f>
        <v>0.72639225181599099</v>
      </c>
      <c r="X628">
        <f>((X587-X586)/X586)*100</f>
        <v>0.34324942791761687</v>
      </c>
      <c r="Y628">
        <f>((Y587-Y586)/Y586)*100</f>
        <v>-1.1656441717791446</v>
      </c>
      <c r="Z628">
        <f>((Z587-Z586)/Z586)*100</f>
        <v>0.42398546335555243</v>
      </c>
      <c r="AA628">
        <f>((AA587-AA586)/AA586)*100</f>
        <v>0.65515187611673276</v>
      </c>
      <c r="AB628">
        <f>((AB587-AB586)/AB586)*100</f>
        <v>0.59382422802850354</v>
      </c>
      <c r="AC628">
        <f>((AC587-AC586)/AC586)*100</f>
        <v>0</v>
      </c>
    </row>
    <row r="629" spans="1:29" x14ac:dyDescent="0.35">
      <c r="A629" t="s">
        <v>34</v>
      </c>
      <c r="B629">
        <v>2022</v>
      </c>
      <c r="C629" t="s">
        <v>40</v>
      </c>
      <c r="D629">
        <f>((D588-D587)/D587)*100</f>
        <v>0.967741935483871</v>
      </c>
      <c r="E629">
        <f>((E588-E587)/E587)*100</f>
        <v>-2.9170464904284437</v>
      </c>
      <c r="F629">
        <f>((F588-F587)/F587)*100</f>
        <v>2.5761124121779724</v>
      </c>
      <c r="G629">
        <f>((G588-G587)/G587)*100</f>
        <v>0.48250904704462172</v>
      </c>
      <c r="H629">
        <f>((H588-H587)/H587)*100</f>
        <v>-2.538576406172222</v>
      </c>
      <c r="I629">
        <f>((I588-I587)/I587)*100</f>
        <v>2.6517383618149681</v>
      </c>
      <c r="J629">
        <f>((J588-J587)/J587)*100</f>
        <v>-0.10970927043336097</v>
      </c>
      <c r="K629">
        <f>((K588-K587)/K587)*100</f>
        <v>0</v>
      </c>
      <c r="L629">
        <f>((L588-L587)/L587)*100</f>
        <v>8.3402835696408939E-2</v>
      </c>
      <c r="M629">
        <f>((M588-M587)/M587)*100</f>
        <v>1.5499732763228251</v>
      </c>
      <c r="N629">
        <f>((N588-N587)/N587)*100</f>
        <v>0.29779630732578916</v>
      </c>
      <c r="O629">
        <f>((O588-O587)/O587)*100</f>
        <v>0.70690592713430289</v>
      </c>
      <c r="P629">
        <f>((P588-P587)/P587)*100</f>
        <v>5.7175528873638831E-2</v>
      </c>
      <c r="Q629">
        <f>((Q588-Q587)/Q587)*100</f>
        <v>0.15440041173442251</v>
      </c>
      <c r="R629">
        <f>((R588-R587)/R587)*100</f>
        <v>0.67758328627894815</v>
      </c>
      <c r="S629">
        <f>((S588-S587)/S587)*100</f>
        <v>0.82401412595644818</v>
      </c>
      <c r="T629">
        <f>((T588-T587)/T587)*100</f>
        <v>0.73863636363637009</v>
      </c>
      <c r="U629">
        <f>((U588-U587)/U587)*100</f>
        <v>0.59952038369304561</v>
      </c>
      <c r="V629">
        <f>((V588-V587)/V587)*100</f>
        <v>2.0454545454545423</v>
      </c>
      <c r="W629">
        <f>((W588-W587)/W587)*100</f>
        <v>0.60096153846153844</v>
      </c>
      <c r="X629">
        <f>((X588-X587)/X587)*100</f>
        <v>0.39908779931584298</v>
      </c>
      <c r="Y629">
        <f>((Y588-Y587)/Y587)*100</f>
        <v>0.31036623215394166</v>
      </c>
      <c r="Z629">
        <f>((Z588-Z587)/Z587)*100</f>
        <v>0.30156815440289503</v>
      </c>
      <c r="AA629">
        <f>((AA588-AA587)/AA587)*100</f>
        <v>1.4201183431952698</v>
      </c>
      <c r="AB629">
        <f>((AB588-AB587)/AB587)*100</f>
        <v>0.17709563164107611</v>
      </c>
      <c r="AC629">
        <f>((AC588-AC587)/AC587)*100</f>
        <v>0.53731343283582433</v>
      </c>
    </row>
    <row r="630" spans="1:29" x14ac:dyDescent="0.35">
      <c r="A630" t="s">
        <v>34</v>
      </c>
      <c r="B630">
        <v>2022</v>
      </c>
      <c r="C630" t="s">
        <v>41</v>
      </c>
      <c r="D630">
        <f>((D589-D588)/D588)*100</f>
        <v>2.4281150159744485</v>
      </c>
      <c r="E630">
        <f>((E589-E588)/E588)*100</f>
        <v>-3.051643192488263</v>
      </c>
      <c r="F630">
        <f>((F589-F588)/F588)*100</f>
        <v>-3.4246575342465757</v>
      </c>
      <c r="G630">
        <f>((G589-G588)/G588)*100</f>
        <v>0.90036014405762299</v>
      </c>
      <c r="H630">
        <f>((H589-H588)/H588)*100</f>
        <v>-1.7364657814096043</v>
      </c>
      <c r="I630">
        <f>((I589-I588)/I588)*100</f>
        <v>-0.74626865671640819</v>
      </c>
      <c r="J630">
        <f>((J589-J588)/J588)*100</f>
        <v>2.5260845689181735</v>
      </c>
      <c r="K630">
        <f>((K589-K588)/K588)*100</f>
        <v>1.7650639074862917</v>
      </c>
      <c r="L630">
        <f>((L589-L588)/L588)*100</f>
        <v>0.75000000000000477</v>
      </c>
      <c r="M630">
        <f>((M589-M588)/M588)*100</f>
        <v>1.8947368421052602</v>
      </c>
      <c r="N630">
        <f>((N589-N588)/N588)*100</f>
        <v>0.23752969121140477</v>
      </c>
      <c r="O630">
        <f>((O589-O588)/O588)*100</f>
        <v>0.59395248380130827</v>
      </c>
      <c r="P630">
        <f>((P589-P588)/P588)*100</f>
        <v>0.74285714285714932</v>
      </c>
      <c r="Q630">
        <f>((Q589-Q588)/Q588)*100</f>
        <v>0.20554984583761854</v>
      </c>
      <c r="R630">
        <f>((R589-R588)/R588)*100</f>
        <v>0.6730229949523211</v>
      </c>
      <c r="S630">
        <f>((S589-S588)/S588)*100</f>
        <v>0.81727962638644314</v>
      </c>
      <c r="T630">
        <f>((T589-T588)/T588)*100</f>
        <v>0.67681895093061961</v>
      </c>
      <c r="U630">
        <f>((U589-U588)/U588)*100</f>
        <v>0.71513706793801468</v>
      </c>
      <c r="V630">
        <f>((V589-V588)/V588)*100</f>
        <v>-0.44543429844097049</v>
      </c>
      <c r="W630">
        <f>((W589-W588)/W588)*100</f>
        <v>0.65710872162484724</v>
      </c>
      <c r="X630">
        <f>((X589-X588)/X588)*100</f>
        <v>0.397501419647937</v>
      </c>
      <c r="Y630">
        <f>((Y589-Y588)/Y588)*100</f>
        <v>0.18564356435644269</v>
      </c>
      <c r="Z630">
        <f>((Z589-Z588)/Z588)*100</f>
        <v>0.36079374624172833</v>
      </c>
      <c r="AA630">
        <f>((AA589-AA588)/AA588)*100</f>
        <v>0.52508751458576763</v>
      </c>
      <c r="AB630">
        <f>((AB589-AB588)/AB588)*100</f>
        <v>0.8839127872716559</v>
      </c>
      <c r="AC630">
        <f>((AC589-AC588)/AC588)*100</f>
        <v>0.41567695961994572</v>
      </c>
    </row>
    <row r="631" spans="1:29" x14ac:dyDescent="0.35">
      <c r="A631" t="s">
        <v>34</v>
      </c>
      <c r="B631">
        <v>2022</v>
      </c>
      <c r="C631" t="s">
        <v>42</v>
      </c>
      <c r="D631">
        <f>((D590-D589)/D589)*100</f>
        <v>1.9962570180910719</v>
      </c>
      <c r="E631">
        <f>((E590-E589)/E589)*100</f>
        <v>1.3075060532687597</v>
      </c>
      <c r="F631">
        <f>((F590-F589)/F589)*100</f>
        <v>0.29550827423167852</v>
      </c>
      <c r="G631">
        <f>((G590-G589)/G589)*100</f>
        <v>0.951814396192739</v>
      </c>
      <c r="H631">
        <f>((H590-H589)/H589)*100</f>
        <v>-1.9230769230769318</v>
      </c>
      <c r="I631">
        <f>((I590-I589)/I589)*100</f>
        <v>-4.1642567958357528</v>
      </c>
      <c r="J631">
        <f>((J590-J589)/J589)*100</f>
        <v>2.7316550615961557</v>
      </c>
      <c r="K631">
        <f>((K590-K589)/K589)*100</f>
        <v>1.1363636363636398</v>
      </c>
      <c r="L631">
        <f>((L590-L589)/L589)*100</f>
        <v>0.57899090157153732</v>
      </c>
      <c r="M631">
        <f>((M590-M589)/M589)*100</f>
        <v>1.9111570247933973</v>
      </c>
      <c r="N631">
        <f>((N590-N589)/N589)*100</f>
        <v>0.35545023696682126</v>
      </c>
      <c r="O631">
        <f>((O590-O589)/O589)*100</f>
        <v>0.59044551798174671</v>
      </c>
      <c r="P631">
        <f>((P590-P589)/P589)*100</f>
        <v>0.85082246171298925</v>
      </c>
      <c r="Q631">
        <f>((Q590-Q589)/Q589)*100</f>
        <v>0.46153846153846445</v>
      </c>
      <c r="R631">
        <f>((R590-R589)/R589)*100</f>
        <v>0.77994428969359653</v>
      </c>
      <c r="S631">
        <f>((S590-S589)/S589)*100</f>
        <v>0.92646207295890148</v>
      </c>
      <c r="T631">
        <f>((T590-T589)/T589)*100</f>
        <v>0.78431372549019918</v>
      </c>
      <c r="U631">
        <f>((U590-U589)/U589)*100</f>
        <v>0.29585798816568049</v>
      </c>
      <c r="V631">
        <f>((V590-V589)/V589)*100</f>
        <v>0.39149888143176093</v>
      </c>
      <c r="W631">
        <f>((W590-W589)/W589)*100</f>
        <v>0.59347181008902083</v>
      </c>
      <c r="X631">
        <f>((X590-X589)/X589)*100</f>
        <v>0.56561085972850678</v>
      </c>
      <c r="Y631">
        <f>((Y590-Y589)/Y589)*100</f>
        <v>0.2470660901791264</v>
      </c>
      <c r="Z631">
        <f>((Z590-Z589)/Z589)*100</f>
        <v>0.41941282204912445</v>
      </c>
      <c r="AA631">
        <f>((AA590-AA589)/AA589)*100</f>
        <v>0.46430644225187634</v>
      </c>
      <c r="AB631">
        <f>((AB590-AB589)/AB589)*100</f>
        <v>-0.17523364485980314</v>
      </c>
      <c r="AC631">
        <f>((AC590-AC589)/AC589)*100</f>
        <v>0.35481963335304223</v>
      </c>
    </row>
    <row r="632" spans="1:29" x14ac:dyDescent="0.35">
      <c r="A632" t="s">
        <v>34</v>
      </c>
      <c r="B632">
        <v>2022</v>
      </c>
      <c r="C632" t="s">
        <v>43</v>
      </c>
      <c r="D632">
        <f>((D591-D590)/D590)*100</f>
        <v>1.0397553516819502</v>
      </c>
      <c r="E632">
        <f>((E591-E590)/E590)*100</f>
        <v>0.81261950286807705</v>
      </c>
      <c r="F632">
        <f>((F591-F590)/F590)*100</f>
        <v>0.70713022981733475</v>
      </c>
      <c r="G632">
        <f>((G591-G590)/G590)*100</f>
        <v>0.70713022981733475</v>
      </c>
      <c r="H632">
        <f>((H591-H590)/H590)*100</f>
        <v>-1.1658717541070422</v>
      </c>
      <c r="I632">
        <f>((I591-I590)/I590)*100</f>
        <v>-1.146650573325273</v>
      </c>
      <c r="J632">
        <f>((J591-J590)/J590)*100</f>
        <v>4.1188738269030116</v>
      </c>
      <c r="K632">
        <f>((K591-K590)/K590)*100</f>
        <v>0.41395623891189659</v>
      </c>
      <c r="L632">
        <f>((L591-L590)/L590)*100</f>
        <v>0.24671052631579882</v>
      </c>
      <c r="M632">
        <f>((M591-M590)/M590)*100</f>
        <v>1.3177901672579797</v>
      </c>
      <c r="N632">
        <f>((N591-N590)/N590)*100</f>
        <v>0.29515938606847697</v>
      </c>
      <c r="O632">
        <f>((O591-O590)/O590)*100</f>
        <v>0.48025613660619304</v>
      </c>
      <c r="P632">
        <f>((P591-P590)/P590)*100</f>
        <v>1.0123734533183255</v>
      </c>
      <c r="Q632">
        <f>((Q591-Q590)/Q590)*100</f>
        <v>0.20418580908627143</v>
      </c>
      <c r="R632">
        <f>((R591-R590)/R590)*100</f>
        <v>0.55279159756771701</v>
      </c>
      <c r="S632">
        <f>((S591-S590)/S590)*100</f>
        <v>0.57372346528973028</v>
      </c>
      <c r="T632">
        <f>((T591-T590)/T590)*100</f>
        <v>0.61145080600333201</v>
      </c>
      <c r="U632">
        <f>((U591-U590)/U590)*100</f>
        <v>1.0029498525073679</v>
      </c>
      <c r="V632">
        <f>((V591-V590)/V590)*100</f>
        <v>0.55710306406685239</v>
      </c>
      <c r="W632">
        <f>((W591-W590)/W590)*100</f>
        <v>0.53097345132743701</v>
      </c>
      <c r="X632">
        <f>((X591-X590)/X590)*100</f>
        <v>0.50618672665915476</v>
      </c>
      <c r="Y632">
        <f>((Y591-Y590)/Y590)*100</f>
        <v>0.36968576709796319</v>
      </c>
      <c r="Z632">
        <f>((Z591-Z590)/Z590)*100</f>
        <v>0.35799522673030687</v>
      </c>
      <c r="AA632">
        <f>((AA591-AA590)/AA590)*100</f>
        <v>0.17331022530329948</v>
      </c>
      <c r="AB632">
        <f>((AB591-AB590)/AB590)*100</f>
        <v>0.7021650087770559</v>
      </c>
      <c r="AC632">
        <f>((AC591-AC590)/AC590)*100</f>
        <v>0.47142015321155656</v>
      </c>
    </row>
    <row r="633" spans="1:29" x14ac:dyDescent="0.35">
      <c r="A633" t="s">
        <v>34</v>
      </c>
      <c r="B633">
        <v>2022</v>
      </c>
      <c r="C633" t="s">
        <v>45</v>
      </c>
      <c r="D633">
        <f>((D592-D591)/D591)*100</f>
        <v>1.3317191283293082</v>
      </c>
      <c r="E633">
        <f>((E592-E591)/E591)*100</f>
        <v>-0.71123755334281646</v>
      </c>
      <c r="F633">
        <f>((F592-F591)/F591)*100</f>
        <v>6.1439438267992976</v>
      </c>
      <c r="G633">
        <f>((G592-G591)/G591)*100</f>
        <v>0.81919251023990969</v>
      </c>
      <c r="H633">
        <f>((H592-H591)/H591)*100</f>
        <v>1.286863270777483</v>
      </c>
      <c r="I633">
        <f>((I592-I591)/I591)*100</f>
        <v>-1.8925518925519063</v>
      </c>
      <c r="J633">
        <f>((J592-J591)/J591)*100</f>
        <v>-8.312468703054579</v>
      </c>
      <c r="K633">
        <f>((K592-K591)/K591)*100</f>
        <v>0.41224970553591794</v>
      </c>
      <c r="L633">
        <f>((L592-L591)/L591)*100</f>
        <v>0.16406890894174619</v>
      </c>
      <c r="M633">
        <f>((M592-M591)/M591)*100</f>
        <v>1.4507253626813434</v>
      </c>
      <c r="N633">
        <f>((N592-N591)/N591)*100</f>
        <v>0.29429075927015891</v>
      </c>
      <c r="O633">
        <f>((O592-O591)/O591)*100</f>
        <v>0.63728093467869806</v>
      </c>
      <c r="P633">
        <f>((P592-P591)/P591)*100</f>
        <v>-0.7238307349665829</v>
      </c>
      <c r="Q633">
        <f>((Q592-Q591)/Q591)*100</f>
        <v>0.305654610290369</v>
      </c>
      <c r="R633">
        <f>((R592-R591)/R591)*100</f>
        <v>0.6597031335898782</v>
      </c>
      <c r="S633">
        <f>((S592-S591)/S591)*100</f>
        <v>0.51340559041641598</v>
      </c>
      <c r="T633">
        <f>((T592-T591)/T591)*100</f>
        <v>0.60773480662983115</v>
      </c>
      <c r="U633">
        <f>((U592-U591)/U591)*100</f>
        <v>0.35046728971963947</v>
      </c>
      <c r="V633">
        <f>((V592-V591)/V591)*100</f>
        <v>0.44321329639889823</v>
      </c>
      <c r="W633">
        <f>((W592-W591)/W591)*100</f>
        <v>0.58685446009389663</v>
      </c>
      <c r="X633">
        <f>((X592-X591)/X591)*100</f>
        <v>0.61555679910465744</v>
      </c>
      <c r="Y633">
        <f>((Y592-Y591)/Y591)*100</f>
        <v>6.1387354205030269E-2</v>
      </c>
      <c r="Z633">
        <f>((Z592-Z591)/Z591)*100</f>
        <v>0.17835909631391877</v>
      </c>
      <c r="AA633">
        <f>((AA592-AA591)/AA591)*100</f>
        <v>0.17301038062282753</v>
      </c>
      <c r="AB633">
        <f>((AB592-AB591)/AB591)*100</f>
        <v>0.87158628704241714</v>
      </c>
      <c r="AC633">
        <f>((AC592-AC591)/AC591)*100</f>
        <v>0.3519061583577679</v>
      </c>
    </row>
    <row r="634" spans="1:29" x14ac:dyDescent="0.35">
      <c r="A634" t="s">
        <v>34</v>
      </c>
      <c r="B634">
        <v>2022</v>
      </c>
      <c r="C634" t="s">
        <v>46</v>
      </c>
      <c r="D634">
        <f>((D593-D592)/D592)*100</f>
        <v>1.075268817204291</v>
      </c>
      <c r="E634">
        <f>((E593-E592)/E592)*100</f>
        <v>-0.19102196752626824</v>
      </c>
      <c r="F634">
        <f>((F593-F592)/F592)*100</f>
        <v>4.8511576626240256</v>
      </c>
      <c r="G634">
        <f>((G593-G592)/G592)*100</f>
        <v>0.75449796865930518</v>
      </c>
      <c r="H634">
        <f>((H593-H592)/H592)*100</f>
        <v>-0.21175224986765784</v>
      </c>
      <c r="I634">
        <f>((I593-I592)/I592)*100</f>
        <v>-1.6801493466085806</v>
      </c>
      <c r="J634">
        <f>((J593-J592)/J592)*100</f>
        <v>-12.670671764063348</v>
      </c>
      <c r="K634">
        <f>((K593-K592)/K592)*100</f>
        <v>0.1759530791788923</v>
      </c>
      <c r="L634">
        <f>((L593-L592)/L592)*100</f>
        <v>-0.2457002457002434</v>
      </c>
      <c r="M634">
        <f>((M593-M592)/M592)*100</f>
        <v>1.1834319526627106</v>
      </c>
      <c r="N634">
        <f>((N593-N592)/N592)*100</f>
        <v>0.35211267605633467</v>
      </c>
      <c r="O634">
        <f>((O593-O592)/O592)*100</f>
        <v>0.42216358839050727</v>
      </c>
      <c r="P634">
        <f>((P593-P592)/P592)*100</f>
        <v>-1.3460459899046582</v>
      </c>
      <c r="Q634">
        <f>((Q593-Q592)/Q592)*100</f>
        <v>0.20314880650076469</v>
      </c>
      <c r="R634">
        <f>((R593-R592)/R592)*100</f>
        <v>0.4915346805024608</v>
      </c>
      <c r="S634">
        <f>((S593-S592)/S592)*100</f>
        <v>0.45402951191828117</v>
      </c>
      <c r="T634">
        <f>((T593-T592)/T592)*100</f>
        <v>0.49423393739703775</v>
      </c>
      <c r="U634">
        <f>((U593-U592)/U592)*100</f>
        <v>-0.64027939464494921</v>
      </c>
      <c r="V634">
        <f>((V593-V592)/V592)*100</f>
        <v>0.38610038610037983</v>
      </c>
      <c r="W634">
        <f>((W593-W592)/W592)*100</f>
        <v>0.40840140023336563</v>
      </c>
      <c r="X634">
        <f>((X593-X592)/X592)*100</f>
        <v>0.72302558398219297</v>
      </c>
      <c r="Y634">
        <f>((Y593-Y592)/Y592)*100</f>
        <v>0.24539877300613847</v>
      </c>
      <c r="Z634">
        <f>((Z593-Z592)/Z592)*100</f>
        <v>0.23738872403561168</v>
      </c>
      <c r="AA634">
        <f>((AA593-AA592)/AA592)*100</f>
        <v>0.23028209556707294</v>
      </c>
      <c r="AB634">
        <f>((AB593-AB592)/AB592)*100</f>
        <v>1.2672811059907931</v>
      </c>
      <c r="AC634">
        <f>((AC593-AC592)/AC592)*100</f>
        <v>0.52600818234950653</v>
      </c>
    </row>
    <row r="635" spans="1:29" x14ac:dyDescent="0.35">
      <c r="A635" t="s">
        <v>34</v>
      </c>
      <c r="B635">
        <v>2023</v>
      </c>
      <c r="C635" t="s">
        <v>31</v>
      </c>
      <c r="D635">
        <f>((D594-D593)/D593)*100</f>
        <v>2.7186761229314556</v>
      </c>
      <c r="E635">
        <f>((E594-E593)/E593)*100</f>
        <v>0.81339712918659746</v>
      </c>
      <c r="F635">
        <f>((F594-F593)/F593)*100</f>
        <v>2.2607781282860206</v>
      </c>
      <c r="G635">
        <f>((G594-G593)/G593)*100</f>
        <v>0.57603686635944706</v>
      </c>
      <c r="H635">
        <f>((H594-H593)/H593)*100</f>
        <v>-0.68965517241379914</v>
      </c>
      <c r="I635">
        <f>((I594-I593)/I593)*100</f>
        <v>0.18987341772152619</v>
      </c>
      <c r="J635">
        <f>((J594-J593)/J593)*100</f>
        <v>-3.7523452157598496</v>
      </c>
      <c r="K635">
        <f>((K594-K593)/K593)*100</f>
        <v>5.8548009367678171E-2</v>
      </c>
      <c r="L635">
        <f>((L594-L593)/L593)*100</f>
        <v>-0.57471264367816322</v>
      </c>
      <c r="M635">
        <f>((M594-M593)/M593)*100</f>
        <v>1.5594541910331468</v>
      </c>
      <c r="N635">
        <f>((N594-N593)/N593)*100</f>
        <v>0.23391812865497411</v>
      </c>
      <c r="O635">
        <f>((O594-O593)/O593)*100</f>
        <v>0.47293746715710833</v>
      </c>
      <c r="P635">
        <f>((P594-P593)/P593)*100</f>
        <v>0.45480386583284982</v>
      </c>
      <c r="Q635">
        <f>((Q594-Q593)/Q593)*100</f>
        <v>0.45615813482005935</v>
      </c>
      <c r="R635">
        <f>((R594-R593)/R593)*100</f>
        <v>0.48913043478261176</v>
      </c>
      <c r="S635">
        <f>((S594-S593)/S593)*100</f>
        <v>0.33898305084745439</v>
      </c>
      <c r="T635">
        <f>((T594-T593)/T593)*100</f>
        <v>0.43715846994536145</v>
      </c>
      <c r="U635">
        <f>((U594-U593)/U593)*100</f>
        <v>0.82015231400117505</v>
      </c>
      <c r="V635">
        <f>((V594-V593)/V593)*100</f>
        <v>0</v>
      </c>
      <c r="W635">
        <f>((W594-W593)/W593)*100</f>
        <v>0.46484601975596251</v>
      </c>
      <c r="X635">
        <f>((X594-X593)/X593)*100</f>
        <v>0.66261733848703319</v>
      </c>
      <c r="Y635">
        <f>((Y594-Y593)/Y593)*100</f>
        <v>0.12239902080782657</v>
      </c>
      <c r="Z635">
        <f>((Z594-Z593)/Z593)*100</f>
        <v>0.35523978685612451</v>
      </c>
      <c r="AA635">
        <f>((AA594-AA593)/AA593)*100</f>
        <v>0.11487650775417407</v>
      </c>
      <c r="AB635">
        <f>((AB594-AB593)/AB593)*100</f>
        <v>1.5927189988623338</v>
      </c>
      <c r="AC635">
        <f>((AC594-AC593)/AC593)*100</f>
        <v>0.46511627906977404</v>
      </c>
    </row>
    <row r="636" spans="1:29" x14ac:dyDescent="0.35">
      <c r="A636" t="s">
        <v>34</v>
      </c>
      <c r="B636">
        <v>2023</v>
      </c>
      <c r="C636" t="s">
        <v>35</v>
      </c>
      <c r="D636">
        <f>((D595-D594)/D594)*100</f>
        <v>0.34522439585730397</v>
      </c>
      <c r="E636">
        <f>((E595-E594)/E594)*100</f>
        <v>-1.423825344091125</v>
      </c>
      <c r="F636">
        <f>((F595-F594)/F594)*100</f>
        <v>-9.922879177377899</v>
      </c>
      <c r="G636">
        <f>((G595-G594)/G594)*100</f>
        <v>1.5463917525773294</v>
      </c>
      <c r="H636">
        <f>((H595-H594)/H594)*100</f>
        <v>-4.2200854700854578</v>
      </c>
      <c r="I636">
        <f>((I595-I594)/I594)*100</f>
        <v>7.0751737207833152</v>
      </c>
      <c r="J636">
        <f>((J595-J594)/J594)*100</f>
        <v>-0.77972709551658026</v>
      </c>
      <c r="K636">
        <f>((K595-K594)/K594)*100</f>
        <v>5.8513750731418554E-2</v>
      </c>
      <c r="L636">
        <f>((L595-L594)/L594)*100</f>
        <v>-0.90834021469859161</v>
      </c>
      <c r="M636">
        <f>((M595-M594)/M594)*100</f>
        <v>0.62380038387715109</v>
      </c>
      <c r="N636">
        <f>((N595-N594)/N594)*100</f>
        <v>0.52508751458576763</v>
      </c>
      <c r="O636">
        <f>((O595-O594)/O594)*100</f>
        <v>0.94142259414226537</v>
      </c>
      <c r="P636">
        <f>((P595-P594)/P594)*100</f>
        <v>0.16977928692700134</v>
      </c>
      <c r="Q636">
        <f>((Q595-Q594)/Q594)*100</f>
        <v>0.65590312815338625</v>
      </c>
      <c r="R636">
        <f>((R595-R594)/R594)*100</f>
        <v>0.70308274743103449</v>
      </c>
      <c r="S636">
        <f>((S595-S594)/S594)*100</f>
        <v>0.61936936936936615</v>
      </c>
      <c r="T636">
        <f>((T595-T594)/T594)*100</f>
        <v>0.70729053318823876</v>
      </c>
      <c r="U636">
        <f>((U595-U594)/U594)*100</f>
        <v>0.81348053457292613</v>
      </c>
      <c r="V636">
        <f>((V595-V594)/V594)*100</f>
        <v>5.4945054945051822E-2</v>
      </c>
      <c r="W636">
        <f>((W595-W594)/W594)*100</f>
        <v>0.75187969924811038</v>
      </c>
      <c r="X636">
        <f>((X595-X594)/X594)*100</f>
        <v>1.1519473395501889</v>
      </c>
      <c r="Y636">
        <f>((Y595-Y594)/Y594)*100</f>
        <v>0.36674816625916523</v>
      </c>
      <c r="Z636">
        <f>((Z595-Z594)/Z594)*100</f>
        <v>0.47197640117994766</v>
      </c>
      <c r="AA636">
        <f>((AA595-AA594)/AA594)*100</f>
        <v>0.40160642570280469</v>
      </c>
      <c r="AB636">
        <f>((AB595-AB594)/AB594)*100</f>
        <v>1.343784994400899</v>
      </c>
      <c r="AC636">
        <f>((AC595-AC594)/AC594)*100</f>
        <v>0.75231481481480489</v>
      </c>
    </row>
    <row r="637" spans="1:29" x14ac:dyDescent="0.35">
      <c r="A637" t="s">
        <v>34</v>
      </c>
      <c r="B637">
        <v>2023</v>
      </c>
      <c r="C637" t="s">
        <v>36</v>
      </c>
      <c r="D637">
        <f>((D596-D595)/D595)*100</f>
        <v>0</v>
      </c>
      <c r="E637">
        <f>((E596-E595)/E595)*100</f>
        <v>0</v>
      </c>
      <c r="F637">
        <f>((F596-F595)/F595)*100</f>
        <v>0</v>
      </c>
      <c r="G637">
        <f>((G596-G595)/G595)*100</f>
        <v>0</v>
      </c>
      <c r="H637">
        <f>((H596-H595)/H595)*100</f>
        <v>-5.5772448410497895E-2</v>
      </c>
      <c r="I637">
        <f>((I596-I595)/I595)*100</f>
        <v>0</v>
      </c>
      <c r="J637">
        <f>((J596-J595)/J595)*100</f>
        <v>6.5487884741337751E-2</v>
      </c>
      <c r="K637">
        <f>((K596-K595)/K595)*100</f>
        <v>5.8479532163739363E-2</v>
      </c>
      <c r="L637">
        <f>((L596-L595)/L595)*100</f>
        <v>0</v>
      </c>
      <c r="M637">
        <f>((M596-M595)/M595)*100</f>
        <v>0</v>
      </c>
      <c r="N637">
        <f>((N596-N595)/N595)*100</f>
        <v>0</v>
      </c>
      <c r="O637">
        <f>((O596-O595)/O595)*100</f>
        <v>0</v>
      </c>
      <c r="P637">
        <f>((P596-P595)/P595)*100</f>
        <v>0</v>
      </c>
      <c r="Q637">
        <f>((Q596-Q595)/Q595)*100</f>
        <v>0</v>
      </c>
      <c r="R637">
        <f>((R596-R595)/R595)*100</f>
        <v>-5.3705692803434117E-2</v>
      </c>
      <c r="S637">
        <f>((S596-S595)/S595)*100</f>
        <v>0</v>
      </c>
      <c r="T637">
        <f>((T596-T595)/T595)*100</f>
        <v>0</v>
      </c>
      <c r="U637">
        <f>((U596-U595)/U595)*100</f>
        <v>0</v>
      </c>
      <c r="V637">
        <f>((V596-V595)/V595)*100</f>
        <v>-0.10982976386600145</v>
      </c>
      <c r="W637">
        <f>((W596-W595)/W595)*100</f>
        <v>0</v>
      </c>
      <c r="X637">
        <f>((X596-X595)/X595)*100</f>
        <v>0</v>
      </c>
      <c r="Y637">
        <f>((Y596-Y595)/Y595)*100</f>
        <v>0</v>
      </c>
      <c r="Z637">
        <f>((Z596-Z595)/Z595)*100</f>
        <v>0</v>
      </c>
      <c r="AA637">
        <f>((AA596-AA595)/AA595)*100</f>
        <v>0</v>
      </c>
      <c r="AB637">
        <f>((AB596-AB595)/AB595)*100</f>
        <v>0</v>
      </c>
      <c r="AC637">
        <f>((AC596-AC595)/AC595)*100</f>
        <v>0</v>
      </c>
    </row>
    <row r="638" spans="1:29" x14ac:dyDescent="0.35">
      <c r="A638" t="s">
        <v>34</v>
      </c>
      <c r="B638">
        <v>2023</v>
      </c>
      <c r="C638" t="s">
        <v>37</v>
      </c>
      <c r="D638">
        <f>((D597-D596)/D596)*100</f>
        <v>-0.34403669724770314</v>
      </c>
      <c r="E638">
        <f>((E597-E596)/E596)*100</f>
        <v>0.77034183919115207</v>
      </c>
      <c r="F638">
        <f>((F597-F596)/F596)*100</f>
        <v>-3.1963470319634673</v>
      </c>
      <c r="G638">
        <f>((G597-G596)/G596)*100</f>
        <v>0.62041737168640398</v>
      </c>
      <c r="H638">
        <f>((H597-H596)/H596)*100</f>
        <v>-2.3995535714285623</v>
      </c>
      <c r="I638">
        <f>((I597-I596)/I596)*100</f>
        <v>4.0117994100295054</v>
      </c>
      <c r="J638">
        <f>((J597-J596)/J596)*100</f>
        <v>1.7015706806282684</v>
      </c>
      <c r="K638">
        <f>((K597-K596)/K596)*100</f>
        <v>1.3442431326709592</v>
      </c>
      <c r="L638">
        <f>((L597-L596)/L596)*100</f>
        <v>1.083333333333331</v>
      </c>
      <c r="M638">
        <f>((M597-M596)/M596)*100</f>
        <v>1.5259895088221351</v>
      </c>
      <c r="N638">
        <f>((N597-N596)/N596)*100</f>
        <v>0.34822983168891136</v>
      </c>
      <c r="O638">
        <f>((O597-O596)/O596)*100</f>
        <v>0.2590673575129534</v>
      </c>
      <c r="P638">
        <f>((P597-P596)/P596)*100</f>
        <v>0.50847457627118964</v>
      </c>
      <c r="Q638">
        <f>((Q597-Q596)/Q596)*100</f>
        <v>0.55137844611528541</v>
      </c>
      <c r="R638">
        <f>((R597-R596)/R596)*100</f>
        <v>0.42987641053197817</v>
      </c>
      <c r="S638">
        <f>((S597-S596)/S596)*100</f>
        <v>0.27979854504756579</v>
      </c>
      <c r="T638">
        <f>((T597-T596)/T596)*100</f>
        <v>0.32414910858994833</v>
      </c>
      <c r="U638">
        <f>((U597-U596)/U596)*100</f>
        <v>0.97982708933716922</v>
      </c>
      <c r="V638">
        <f>((V597-V596)/V596)*100</f>
        <v>-0.10995052226499014</v>
      </c>
      <c r="W638">
        <f>((W597-W596)/W596)*100</f>
        <v>0.22962112514351646</v>
      </c>
      <c r="X638">
        <f>((X597-X596)/X596)*100</f>
        <v>0.32537960954446543</v>
      </c>
      <c r="Y638">
        <f>((Y597-Y596)/Y596)*100</f>
        <v>0.18270401948843568</v>
      </c>
      <c r="Z638">
        <f>((Z597-Z596)/Z596)*100</f>
        <v>0.23487962419258793</v>
      </c>
      <c r="AA638">
        <f>((AA597-AA596)/AA596)*100</f>
        <v>0.80000000000000326</v>
      </c>
      <c r="AB638">
        <f>((AB597-AB596)/AB596)*100</f>
        <v>1.6574585635359116</v>
      </c>
      <c r="AC638">
        <f>((AC597-AC596)/AC596)*100</f>
        <v>0.51694428489374256</v>
      </c>
    </row>
    <row r="639" spans="1:29" x14ac:dyDescent="0.35">
      <c r="A639" t="s">
        <v>34</v>
      </c>
      <c r="B639">
        <v>2023</v>
      </c>
      <c r="C639" t="s">
        <v>38</v>
      </c>
      <c r="D639">
        <f>((D598-D597)/D597)*100</f>
        <v>-5.7537399309564287E-2</v>
      </c>
      <c r="E639">
        <f>((E598-E597)/E597)*100</f>
        <v>2.3889154323936932</v>
      </c>
      <c r="F639">
        <f>((F598-F597)/F597)*100</f>
        <v>2.1226415094339588</v>
      </c>
      <c r="G639">
        <f>((G598-G597)/G597)*100</f>
        <v>0.61659192825111786</v>
      </c>
      <c r="H639">
        <f>((H598-H597)/H597)*100</f>
        <v>-2.8016009148084651</v>
      </c>
      <c r="I639">
        <f>((I598-I597)/I597)*100</f>
        <v>-2.3255813953488502</v>
      </c>
      <c r="J639">
        <f>((J598-J597)/J597)*100</f>
        <v>3.6036036036036001</v>
      </c>
      <c r="K639">
        <f>((K598-K597)/K597)*100</f>
        <v>1.268742791234134</v>
      </c>
      <c r="L639">
        <f>((L598-L597)/L597)*100</f>
        <v>1.1541632316570534</v>
      </c>
      <c r="M639">
        <f>((M598-M597)/M597)*100</f>
        <v>2.3954908407703117</v>
      </c>
      <c r="N639">
        <f>((N598-N597)/N597)*100</f>
        <v>0.2891844997108155</v>
      </c>
      <c r="O639">
        <f>((O598-O597)/O597)*100</f>
        <v>0.36175710594314658</v>
      </c>
      <c r="P639">
        <f>((P598-P597)/P597)*100</f>
        <v>0.6745362563237709</v>
      </c>
      <c r="Q639">
        <f>((Q598-Q597)/Q597)*100</f>
        <v>0.1994017946161544</v>
      </c>
      <c r="R639">
        <f>((R598-R597)/R597)*100</f>
        <v>0.21401819154628446</v>
      </c>
      <c r="S639">
        <f>((S598-S597)/S597)*100</f>
        <v>0.27901785714285715</v>
      </c>
      <c r="T639">
        <f>((T598-T597)/T597)*100</f>
        <v>0.26925148088314488</v>
      </c>
      <c r="U639">
        <f>((U598-U597)/U597)*100</f>
        <v>0.22831050228310826</v>
      </c>
      <c r="V639">
        <f>((V598-V597)/V597)*100</f>
        <v>0.60539350577876871</v>
      </c>
      <c r="W639">
        <f>((W598-W597)/W597)*100</f>
        <v>0.34364261168384552</v>
      </c>
      <c r="X639">
        <f>((X598-X597)/X597)*100</f>
        <v>0.37837837837837224</v>
      </c>
      <c r="Y639">
        <f>((Y598-Y597)/Y597)*100</f>
        <v>0.18237082066869992</v>
      </c>
      <c r="Z639">
        <f>((Z598-Z597)/Z597)*100</f>
        <v>0.29291154071470415</v>
      </c>
      <c r="AA639">
        <f>((AA598-AA597)/AA597)*100</f>
        <v>0.39682539682539036</v>
      </c>
      <c r="AB639">
        <f>((AB598-AB597)/AB597)*100</f>
        <v>0.65217391304347205</v>
      </c>
      <c r="AC639">
        <f>((AC598-AC597)/AC597)*100</f>
        <v>0.39999999999999353</v>
      </c>
    </row>
    <row r="644" spans="1:26" x14ac:dyDescent="0.35">
      <c r="C644" s="35" t="s">
        <v>107</v>
      </c>
      <c r="D644" s="35"/>
      <c r="E644" s="35"/>
      <c r="F644" s="35"/>
      <c r="G644" s="35"/>
      <c r="H644" s="35"/>
    </row>
    <row r="645" spans="1:26" x14ac:dyDescent="0.35">
      <c r="A645" t="s">
        <v>3</v>
      </c>
      <c r="B645" t="s">
        <v>4</v>
      </c>
      <c r="C645" t="s">
        <v>5</v>
      </c>
      <c r="D645" t="s">
        <v>6</v>
      </c>
      <c r="E645" t="s">
        <v>7</v>
      </c>
      <c r="F645" t="s">
        <v>8</v>
      </c>
      <c r="G645" t="s">
        <v>9</v>
      </c>
      <c r="H645" t="s">
        <v>10</v>
      </c>
      <c r="I645" t="s">
        <v>11</v>
      </c>
      <c r="J645" t="s">
        <v>12</v>
      </c>
      <c r="K645" t="s">
        <v>13</v>
      </c>
      <c r="L645" t="s">
        <v>14</v>
      </c>
      <c r="M645" t="s">
        <v>15</v>
      </c>
      <c r="N645" t="s">
        <v>16</v>
      </c>
      <c r="O645" t="s">
        <v>17</v>
      </c>
      <c r="P645" t="s">
        <v>18</v>
      </c>
      <c r="Q645" t="s">
        <v>19</v>
      </c>
      <c r="R645" t="s">
        <v>20</v>
      </c>
      <c r="S645" t="s">
        <v>21</v>
      </c>
      <c r="T645" t="s">
        <v>22</v>
      </c>
      <c r="U645" t="s">
        <v>23</v>
      </c>
      <c r="V645" t="s">
        <v>24</v>
      </c>
      <c r="W645" t="s">
        <v>25</v>
      </c>
      <c r="X645" t="s">
        <v>26</v>
      </c>
      <c r="Y645" t="s">
        <v>27</v>
      </c>
      <c r="Z645" t="s">
        <v>28</v>
      </c>
    </row>
    <row r="646" spans="1:26" x14ac:dyDescent="0.35">
      <c r="A646">
        <f>CORREL($D$472:$D$499,D612:D639)</f>
        <v>-4.4259725170195205E-2</v>
      </c>
      <c r="B646">
        <f>CORREL($D$472:$D$499,E612:E639)</f>
        <v>0.16012174840897211</v>
      </c>
      <c r="C646">
        <f>CORREL($D$472:$D$499,F612:F639)</f>
        <v>5.0955898366225647E-2</v>
      </c>
      <c r="D646">
        <f>CORREL($D$472:$D$499,G612:G639)</f>
        <v>-4.4393813324709826E-2</v>
      </c>
      <c r="E646">
        <f>CORREL($D$472:$D$499,H612:H639)</f>
        <v>4.743959627578069E-2</v>
      </c>
      <c r="F646">
        <f>CORREL($D$472:$D$499,I612:I639)</f>
        <v>0.10001441292800864</v>
      </c>
      <c r="G646">
        <f>CORREL($D$472:$D$499,J612:J639)</f>
        <v>-8.4245384847489392E-4</v>
      </c>
      <c r="H646">
        <f>CORREL($D$472:$D$499,K612:K639)</f>
        <v>-2.791662684421306E-3</v>
      </c>
      <c r="I646">
        <f>CORREL($D$472:$D$499,L612:L639)</f>
        <v>0.26726717044708459</v>
      </c>
      <c r="J646">
        <f>CORREL($D$472:$D$499,M612:M639)</f>
        <v>-0.11444640748870948</v>
      </c>
      <c r="K646">
        <f>CORREL($D$472:$D$499,N612:N639)</f>
        <v>-0.33851508652410561</v>
      </c>
      <c r="L646">
        <f>CORREL($D$472:$D$499,O612:O639)</f>
        <v>-0.19357957560732658</v>
      </c>
      <c r="M646">
        <f>CORREL($D$472:$D$499,P612:P639)</f>
        <v>9.4298657558483157E-2</v>
      </c>
      <c r="N646">
        <f>CORREL($D$472:$D$499,Q612:Q639)</f>
        <v>-0.30616162162008476</v>
      </c>
      <c r="O646">
        <f>CORREL($D$472:$D$499,R612:R639)</f>
        <v>-0.16162790972354432</v>
      </c>
      <c r="P646">
        <f>CORREL($D$472:$D$499,S612:S639)</f>
        <v>-8.8215513293390113E-2</v>
      </c>
      <c r="Q646">
        <f>CORREL($D$472:$D$499,T612:T639)</f>
        <v>-0.13671685475782569</v>
      </c>
      <c r="R646">
        <f>CORREL($D$472:$D$499,U612:U639)</f>
        <v>-0.23520063969586491</v>
      </c>
      <c r="S646">
        <f>CORREL($D$472:$D$499,V612:V639)</f>
        <v>4.5680856544398414E-2</v>
      </c>
      <c r="T646">
        <f>CORREL($D$472:$D$499,W612:W639)</f>
        <v>-0.10412816164852173</v>
      </c>
      <c r="U646">
        <f>CORREL($D$472:$D$499,X612:X639)</f>
        <v>-0.27557406816766872</v>
      </c>
      <c r="V646">
        <f>CORREL($D$472:$D$499,Y612:Y639)</f>
        <v>-0.10609137410697116</v>
      </c>
      <c r="W646">
        <f>CORREL($D$472:$D$499,Z612:Z639)</f>
        <v>5.1370781464449886E-2</v>
      </c>
      <c r="X646">
        <f>CORREL($D$472:$D$499,AA612:AA639)</f>
        <v>-7.482725595916663E-2</v>
      </c>
      <c r="Y646">
        <f>CORREL($D$472:$D$499,AB612:AB639)</f>
        <v>-8.4135635618363902E-2</v>
      </c>
      <c r="Z646">
        <f>CORREL($D$472:$D$499,AC612:AC639)</f>
        <v>-0.17749699065812763</v>
      </c>
    </row>
    <row r="647" spans="1:26" x14ac:dyDescent="0.35">
      <c r="F647" s="49"/>
      <c r="K647" s="52" t="s">
        <v>55</v>
      </c>
    </row>
  </sheetData>
  <mergeCells count="14">
    <mergeCell ref="A1:O1"/>
    <mergeCell ref="A152:P152"/>
    <mergeCell ref="C644:H644"/>
    <mergeCell ref="A468:D468"/>
    <mergeCell ref="A609:E609"/>
    <mergeCell ref="A38:D38"/>
    <mergeCell ref="A192:B192"/>
    <mergeCell ref="A568:F568"/>
    <mergeCell ref="J568:O568"/>
    <mergeCell ref="A218:D218"/>
    <mergeCell ref="A330:H330"/>
    <mergeCell ref="A469:D469"/>
    <mergeCell ref="A504:C504"/>
    <mergeCell ref="F609:K609"/>
  </mergeCells>
  <pageMargins left="0.7" right="0.7" top="0.75" bottom="0.75" header="0.3" footer="0.3"/>
  <pageSetup orientation="portrait" r:id="rId1"/>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extLst>
    <ext xmlns:x15="http://schemas.microsoft.com/office/spreadsheetml/2010/11/main" uri="{3A4CF648-6AED-40f4-86FF-DC5316D8AED3}">
      <x14:slicerList xmlns:x14="http://schemas.microsoft.com/office/spreadsheetml/2009/9/main">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BBD52-7D7D-4166-96D6-9CEC41D341EA}">
  <dimension ref="B2:W49"/>
  <sheetViews>
    <sheetView showGridLines="0" zoomScale="46" zoomScaleNormal="37" workbookViewId="0">
      <selection activeCell="AC21" sqref="AC21"/>
    </sheetView>
  </sheetViews>
  <sheetFormatPr defaultRowHeight="14.5" x14ac:dyDescent="0.35"/>
  <cols>
    <col min="1" max="1" width="4.36328125" customWidth="1"/>
    <col min="2" max="2" width="26" customWidth="1"/>
    <col min="3" max="3" width="63.08984375" customWidth="1"/>
    <col min="10" max="10" width="29.453125" customWidth="1"/>
    <col min="11" max="11" width="8.7265625" customWidth="1"/>
    <col min="12" max="12" width="30.90625" customWidth="1"/>
    <col min="19" max="19" width="37.1796875" customWidth="1"/>
    <col min="20" max="20" width="11.26953125" customWidth="1"/>
    <col min="21" max="21" width="44.81640625" bestFit="1" customWidth="1"/>
    <col min="22" max="22" width="40.7265625" customWidth="1"/>
    <col min="23" max="23" width="12" customWidth="1"/>
    <col min="35" max="35" width="112" bestFit="1" customWidth="1"/>
  </cols>
  <sheetData>
    <row r="2" spans="20:23" ht="17" x14ac:dyDescent="0.35">
      <c r="T2" s="59" t="s">
        <v>125</v>
      </c>
      <c r="U2" s="60"/>
      <c r="V2" s="60"/>
      <c r="W2" s="60"/>
    </row>
    <row r="3" spans="20:23" ht="17" x14ac:dyDescent="0.4">
      <c r="T3" s="57" t="s">
        <v>126</v>
      </c>
      <c r="U3" s="57" t="s">
        <v>127</v>
      </c>
      <c r="V3" s="57" t="s">
        <v>128</v>
      </c>
      <c r="W3" s="58" t="s">
        <v>142</v>
      </c>
    </row>
    <row r="4" spans="20:23" ht="17" x14ac:dyDescent="0.4">
      <c r="T4" s="55" t="s">
        <v>130</v>
      </c>
      <c r="U4" s="55" t="s">
        <v>131</v>
      </c>
      <c r="V4" s="55" t="str">
        <f>_xlfn.LET(
    _xlpm.total_slice_sum, SUM('CPI Case Study'!C20:C25),
    IF(ROUND(_xlpm.total_slice_sum, 2) = 100, "🟢 Valid Basket Breakdown (100%)", "🔴 Warning: Slices Do Not Total 100%")
)</f>
        <v>🟢 Valid Basket Breakdown (100%)</v>
      </c>
      <c r="W4" s="55" t="s">
        <v>129</v>
      </c>
    </row>
    <row r="5" spans="20:23" ht="17" x14ac:dyDescent="0.4">
      <c r="T5" s="55" t="s">
        <v>132</v>
      </c>
      <c r="U5" s="55" t="s">
        <v>137</v>
      </c>
      <c r="V5" s="55" t="str">
        <f>IF(COUNTA(Table1[Year])=7, "🟢 7/7 Years Loaded", "🔴 Missing Year Data")</f>
        <v>🟢 7/7 Years Loaded</v>
      </c>
      <c r="W5" s="55" t="s">
        <v>129</v>
      </c>
    </row>
    <row r="6" spans="20:23" ht="17" x14ac:dyDescent="0.4">
      <c r="T6" s="55" t="s">
        <v>133</v>
      </c>
      <c r="U6" s="55" t="s">
        <v>138</v>
      </c>
      <c r="V6" s="55" t="str">
        <f>IF(AND(MIN('CPI Case Study'!D122:D127)&gt;=0, MAX('CPI Case Study'!D122:D127)&lt;=15), "🟢 Rates Within Normal Macro Bounds", "🔴 Outlier Flagged")</f>
        <v>🟢 Rates Within Normal Macro Bounds</v>
      </c>
      <c r="W6" s="55" t="s">
        <v>129</v>
      </c>
    </row>
    <row r="7" spans="20:23" ht="17" x14ac:dyDescent="0.4">
      <c r="T7" s="55" t="s">
        <v>134</v>
      </c>
      <c r="U7" s="55" t="s">
        <v>139</v>
      </c>
      <c r="V7" s="55" t="str">
        <f>IF(ROUND(MAX('CPI Case Study'!D122:D127),2)=6.6, "🟢 2022 Peak Verified (6.60%)", "🔴 Peak Calculation Mismatch")</f>
        <v>🟢 2022 Peak Verified (6.60%)</v>
      </c>
      <c r="W7" s="55" t="s">
        <v>129</v>
      </c>
    </row>
    <row r="8" spans="20:23" ht="17" x14ac:dyDescent="0.4">
      <c r="T8" s="55" t="s">
        <v>135</v>
      </c>
      <c r="U8" s="55" t="s">
        <v>140</v>
      </c>
      <c r="V8" s="55" t="str" cm="1">
        <f t="array" ref="V8">_xlfn.LET(
    _xlpm.max_val, MAX('CPI Case Study'!B194:B206),
    _xlpm.max_cat, _xlfn.XLOOKUP(_xlpm.max_val, 'CPI Case Study'!B194:B206,_xlfn.ANCHORARRAY( 'CPI Case Study'!A194)),
    IF(AND(ROUND(_xlpm.max_val, 2) = 32.67, _xlpm.max_cat = "Spices"), "🟢 Max Peak Verified: Spices (+32.67)", "🔴 Peak Mismatch")
)</f>
        <v>🟢 Max Peak Verified: Spices (+32.67)</v>
      </c>
      <c r="W8" s="55" t="s">
        <v>129</v>
      </c>
    </row>
    <row r="9" spans="20:23" ht="17" x14ac:dyDescent="0.4">
      <c r="T9" s="55" t="s">
        <v>136</v>
      </c>
      <c r="U9" s="55" t="s">
        <v>141</v>
      </c>
      <c r="V9" s="55" t="str" cm="1">
        <f t="array" ref="V9">_xlfn.LET(
    _xlpm.min_val, MIN('CPI Case Study'!B194:B206),
    _xlpm.min_cat, _xlfn.XLOOKUP(_xlpm.min_val, 'CPI Case Study'!B194:B206,_xlfn.ANCHORARRAY( 'CPI Case Study'!A194)),
    IF(AND(ROUND(_xlpm.min_val, 2) = -31.37, _xlpm.min_cat = "Oils and fats"), "🟢 Max Drop Verified: Oils and fats (-31.37)", "🔴 Minimum Mismatch")
)</f>
        <v>🟢 Max Drop Verified: Oils and fats (-31.37)</v>
      </c>
      <c r="W9" s="55" t="s">
        <v>129</v>
      </c>
    </row>
    <row r="10" spans="20:23" ht="17" x14ac:dyDescent="0.4">
      <c r="T10" s="55" t="s">
        <v>146</v>
      </c>
      <c r="U10" s="56" t="s">
        <v>143</v>
      </c>
      <c r="V10" s="55" t="str">
        <f>IF(ROUND('CPI Case Study'!E430,2)= 6.99, "Matched", "FAIL")</f>
        <v>Matched</v>
      </c>
      <c r="W10" s="56" t="s">
        <v>129</v>
      </c>
    </row>
    <row r="11" spans="20:23" ht="17" x14ac:dyDescent="0.4">
      <c r="T11" s="55" t="s">
        <v>147</v>
      </c>
      <c r="U11" s="55" t="s">
        <v>144</v>
      </c>
      <c r="V11" s="55" t="str">
        <f>IF(ROUND('CPI Case Study'!E429,2)= 7.52, "Matched", "FAIL")</f>
        <v>Matched</v>
      </c>
      <c r="W11" s="56" t="s">
        <v>129</v>
      </c>
    </row>
    <row r="12" spans="20:23" ht="17" x14ac:dyDescent="0.4">
      <c r="T12" s="55" t="s">
        <v>148</v>
      </c>
      <c r="U12" s="55" t="s">
        <v>145</v>
      </c>
      <c r="V12" s="55" t="str">
        <f>IF(ROUND('CPI Case Study'!E431,2)= 8.71, "Matched", "FAIL")</f>
        <v>Matched</v>
      </c>
      <c r="W12" s="56" t="s">
        <v>129</v>
      </c>
    </row>
    <row r="13" spans="20:23" ht="17" x14ac:dyDescent="0.4">
      <c r="T13" s="55" t="s">
        <v>149</v>
      </c>
      <c r="U13" s="56" t="s">
        <v>150</v>
      </c>
      <c r="V13" s="55" t="str" cm="1">
        <f t="array" ref="V13">IF(ROUND(Table5[Non-alcoholic beverages],3)= -0.339, "Matched", "FAIL")</f>
        <v>Matched</v>
      </c>
      <c r="W13" s="56" t="s">
        <v>129</v>
      </c>
    </row>
    <row r="19" spans="2:23" x14ac:dyDescent="0.35">
      <c r="B19" s="30" t="s">
        <v>115</v>
      </c>
    </row>
    <row r="20" spans="2:23" ht="19.5" customHeight="1" x14ac:dyDescent="0.45">
      <c r="B20" t="s">
        <v>156</v>
      </c>
      <c r="W20" s="62" t="s">
        <v>151</v>
      </c>
    </row>
    <row r="21" spans="2:23" ht="17" x14ac:dyDescent="0.4">
      <c r="W21" s="61">
        <v>-0.33900000000000002</v>
      </c>
    </row>
    <row r="22" spans="2:23" x14ac:dyDescent="0.35">
      <c r="W22" s="29" t="s">
        <v>163</v>
      </c>
    </row>
    <row r="31" spans="2:23" x14ac:dyDescent="0.35">
      <c r="D31" s="29"/>
    </row>
    <row r="33" spans="2:10" x14ac:dyDescent="0.35">
      <c r="J33" s="30" t="s">
        <v>119</v>
      </c>
    </row>
    <row r="34" spans="2:10" x14ac:dyDescent="0.35">
      <c r="J34" s="53" t="s">
        <v>120</v>
      </c>
    </row>
    <row r="35" spans="2:10" x14ac:dyDescent="0.35">
      <c r="J35" t="s">
        <v>157</v>
      </c>
    </row>
    <row r="36" spans="2:10" x14ac:dyDescent="0.35">
      <c r="J36" s="54" t="s">
        <v>121</v>
      </c>
    </row>
    <row r="37" spans="2:10" x14ac:dyDescent="0.35">
      <c r="J37" t="s">
        <v>158</v>
      </c>
    </row>
    <row r="38" spans="2:10" x14ac:dyDescent="0.35">
      <c r="B38" s="53" t="s">
        <v>117</v>
      </c>
    </row>
    <row r="39" spans="2:10" x14ac:dyDescent="0.35">
      <c r="B39" t="s">
        <v>155</v>
      </c>
      <c r="J39" s="53" t="s">
        <v>122</v>
      </c>
    </row>
    <row r="40" spans="2:10" x14ac:dyDescent="0.35">
      <c r="B40" s="54" t="s">
        <v>116</v>
      </c>
      <c r="J40" t="s">
        <v>159</v>
      </c>
    </row>
    <row r="41" spans="2:10" x14ac:dyDescent="0.35">
      <c r="B41" s="29" t="s">
        <v>118</v>
      </c>
    </row>
    <row r="42" spans="2:10" x14ac:dyDescent="0.35">
      <c r="B42" t="s">
        <v>152</v>
      </c>
      <c r="J42" s="54" t="s">
        <v>121</v>
      </c>
    </row>
    <row r="43" spans="2:10" x14ac:dyDescent="0.35">
      <c r="B43" t="s">
        <v>153</v>
      </c>
      <c r="J43" t="s">
        <v>160</v>
      </c>
    </row>
    <row r="44" spans="2:10" x14ac:dyDescent="0.35">
      <c r="B44" t="s">
        <v>154</v>
      </c>
    </row>
    <row r="45" spans="2:10" x14ac:dyDescent="0.35">
      <c r="J45" s="53" t="s">
        <v>123</v>
      </c>
    </row>
    <row r="46" spans="2:10" x14ac:dyDescent="0.35">
      <c r="J46" t="s">
        <v>161</v>
      </c>
    </row>
    <row r="48" spans="2:10" x14ac:dyDescent="0.35">
      <c r="J48" s="54" t="s">
        <v>124</v>
      </c>
    </row>
    <row r="49" spans="10:10" x14ac:dyDescent="0.35">
      <c r="J49" t="s">
        <v>162</v>
      </c>
    </row>
  </sheetData>
  <phoneticPr fontId="21" type="noConversion"/>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All_India_Index_Upto_April23 (1</vt:lpstr>
      <vt:lpstr>CPI Case Study</vt:lpstr>
      <vt:lpstr>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Saini</dc:creator>
  <cp:lastModifiedBy>Harsh Saini</cp:lastModifiedBy>
  <dcterms:created xsi:type="dcterms:W3CDTF">2025-09-16T05:50:20Z</dcterms:created>
  <dcterms:modified xsi:type="dcterms:W3CDTF">2026-09-24T15:17:58Z</dcterms:modified>
</cp:coreProperties>
</file>